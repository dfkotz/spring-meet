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kevindonohue/Library/Mobile Documents/com~apple~CloudDocs/Recent Alum Life/23S/"/>
    </mc:Choice>
  </mc:AlternateContent>
  <xr:revisionPtr revIDLastSave="0" documentId="13_ncr:1_{8201627A-9AFF-9A4F-B57F-6FB8382E64A2}" xr6:coauthVersionLast="47" xr6:coauthVersionMax="47" xr10:uidLastSave="{00000000-0000-0000-0000-000000000000}"/>
  <bookViews>
    <workbookView xWindow="-38400" yWindow="500" windowWidth="38400" windowHeight="23500" xr2:uid="{00000000-000D-0000-FFFF-FFFF00000000}"/>
  </bookViews>
  <sheets>
    <sheet name="Dartmouth WW 2023" sheetId="1" r:id="rId1"/>
    <sheet name="Birl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3" i="1" l="1"/>
  <c r="X32" i="1" s="1"/>
  <c r="AF29" i="1"/>
  <c r="AH29" i="1"/>
  <c r="AD35" i="1"/>
  <c r="AD33" i="1"/>
  <c r="AD31" i="1"/>
  <c r="P31" i="1" l="1"/>
  <c r="P30" i="1" s="1" a="1"/>
  <c r="P30" i="1" s="1"/>
  <c r="R33" i="1"/>
  <c r="U64" i="1"/>
  <c r="C45" i="2"/>
  <c r="U66" i="1" s="1"/>
  <c r="C46" i="2"/>
  <c r="U67" i="1" s="1"/>
  <c r="C44" i="2"/>
  <c r="U65" i="1" s="1"/>
  <c r="C42" i="2"/>
  <c r="U63" i="1" s="1"/>
  <c r="C41" i="2"/>
  <c r="U62" i="1" s="1"/>
  <c r="U5" i="1"/>
  <c r="U6" i="1"/>
  <c r="U9" i="1"/>
  <c r="U13" i="1"/>
  <c r="C20" i="2"/>
  <c r="U26" i="1" s="1"/>
  <c r="C21" i="2"/>
  <c r="U27" i="1" s="1"/>
  <c r="C19" i="2"/>
  <c r="U25" i="1" s="1"/>
  <c r="C4" i="2"/>
  <c r="U4" i="1" s="1"/>
  <c r="C7" i="2"/>
  <c r="U7" i="1" s="1"/>
  <c r="C8" i="2"/>
  <c r="U8" i="1" s="1"/>
  <c r="C10" i="2"/>
  <c r="U10" i="1" s="1"/>
  <c r="C11" i="2"/>
  <c r="U11" i="1" s="1"/>
  <c r="C12" i="2"/>
  <c r="U12" i="1" s="1"/>
  <c r="C14" i="2"/>
  <c r="U14" i="1" s="1"/>
  <c r="C3" i="2"/>
  <c r="U3" i="1" s="1"/>
  <c r="AO66" i="1"/>
  <c r="AO67" i="1"/>
  <c r="T62" i="1"/>
  <c r="T63" i="1"/>
  <c r="T64" i="1"/>
  <c r="T65" i="1"/>
  <c r="T66" i="1"/>
  <c r="T67" i="1"/>
  <c r="T3" i="1"/>
  <c r="T4" i="1"/>
  <c r="T5" i="1"/>
  <c r="T6" i="1"/>
  <c r="T7" i="1"/>
  <c r="T8" i="1"/>
  <c r="T9" i="1"/>
  <c r="T10" i="1"/>
  <c r="T11" i="1"/>
  <c r="T12" i="1"/>
  <c r="T13" i="1"/>
  <c r="T14" i="1"/>
  <c r="T25" i="1"/>
  <c r="T26" i="1"/>
  <c r="T27" i="1"/>
  <c r="AM16" i="1"/>
  <c r="AM17" i="1"/>
  <c r="AM18" i="1"/>
  <c r="AM20" i="1"/>
  <c r="AM21" i="1"/>
  <c r="AM22" i="1"/>
  <c r="AM24" i="1"/>
  <c r="AM28" i="1"/>
  <c r="AL29" i="1"/>
  <c r="AM3" i="1" s="1"/>
  <c r="AL31" i="1"/>
  <c r="AL30" i="1" s="1"/>
  <c r="AL33" i="1"/>
  <c r="AL32" i="1" s="1"/>
  <c r="AL35" i="1"/>
  <c r="AL34" i="1" s="1"/>
  <c r="Z35" i="1"/>
  <c r="Z34" i="1" s="1" a="1"/>
  <c r="Z34" i="1" s="1"/>
  <c r="Z33" i="1"/>
  <c r="Z32" i="1" s="1" a="1"/>
  <c r="Z32" i="1" s="1"/>
  <c r="Z31" i="1"/>
  <c r="Z30" i="1" s="1" a="1"/>
  <c r="Z30" i="1" s="1"/>
  <c r="Z29" i="1"/>
  <c r="AA26" i="1" s="1"/>
  <c r="AA28" i="1"/>
  <c r="AA27" i="1"/>
  <c r="AA24" i="1"/>
  <c r="AA22" i="1"/>
  <c r="AA21" i="1"/>
  <c r="AA20" i="1"/>
  <c r="AA18" i="1"/>
  <c r="AA17" i="1"/>
  <c r="AA16" i="1"/>
  <c r="AA4" i="1"/>
  <c r="L84" i="1"/>
  <c r="L83" i="1" s="1" a="1"/>
  <c r="L83" i="1" s="1"/>
  <c r="L82" i="1"/>
  <c r="L81" i="1" s="1" a="1"/>
  <c r="L81" i="1" s="1"/>
  <c r="L80" i="1"/>
  <c r="L79" i="1" s="1"/>
  <c r="M76" i="1"/>
  <c r="M75" i="1"/>
  <c r="M71" i="1"/>
  <c r="M70" i="1"/>
  <c r="M69" i="1"/>
  <c r="M68" i="1"/>
  <c r="L35" i="1"/>
  <c r="L34" i="1" s="1" a="1"/>
  <c r="L34" i="1" s="1"/>
  <c r="L33" i="1"/>
  <c r="L32" i="1" s="1" a="1"/>
  <c r="L32" i="1" s="1"/>
  <c r="L31" i="1"/>
  <c r="L30" i="1" s="1" a="1"/>
  <c r="L30" i="1" s="1"/>
  <c r="L29" i="1"/>
  <c r="M26" i="1" s="1"/>
  <c r="M28" i="1"/>
  <c r="M22" i="1"/>
  <c r="M21" i="1"/>
  <c r="M20" i="1"/>
  <c r="M18" i="1"/>
  <c r="M17" i="1"/>
  <c r="M16" i="1"/>
  <c r="P33" i="1"/>
  <c r="T33" i="1" l="1"/>
  <c r="T35" i="1"/>
  <c r="T31" i="1"/>
  <c r="T78" i="1"/>
  <c r="AA3" i="1"/>
  <c r="AA8" i="1"/>
  <c r="M13" i="1"/>
  <c r="M14" i="1"/>
  <c r="L78" i="1"/>
  <c r="M67" i="1" s="1"/>
  <c r="M12" i="1"/>
  <c r="AL78" i="1"/>
  <c r="Z78" i="1"/>
  <c r="AA13" i="1"/>
  <c r="AA15" i="1"/>
  <c r="AM13" i="1"/>
  <c r="AM14" i="1"/>
  <c r="AM12" i="1"/>
  <c r="AM26" i="1"/>
  <c r="AM11" i="1"/>
  <c r="AM25" i="1"/>
  <c r="AM10" i="1"/>
  <c r="AA14" i="1"/>
  <c r="AM9" i="1"/>
  <c r="AM8" i="1"/>
  <c r="AM7" i="1"/>
  <c r="AM27" i="1"/>
  <c r="AM6" i="1"/>
  <c r="AM5" i="1"/>
  <c r="AM4" i="1"/>
  <c r="AM15" i="1"/>
  <c r="AA5" i="1"/>
  <c r="AA6" i="1"/>
  <c r="AA7" i="1"/>
  <c r="AA9" i="1"/>
  <c r="AA10" i="1"/>
  <c r="AA11" i="1"/>
  <c r="AA25" i="1"/>
  <c r="AA12" i="1"/>
  <c r="M27" i="1"/>
  <c r="M5" i="1"/>
  <c r="M4" i="1"/>
  <c r="M7" i="1"/>
  <c r="M10" i="1"/>
  <c r="M25" i="1"/>
  <c r="M3" i="1"/>
  <c r="M15" i="1"/>
  <c r="M6" i="1"/>
  <c r="M8" i="1"/>
  <c r="M9" i="1"/>
  <c r="M11" i="1"/>
  <c r="AO4" i="1"/>
  <c r="AO5" i="1"/>
  <c r="AO6" i="1"/>
  <c r="AO7" i="1"/>
  <c r="AO8" i="1"/>
  <c r="AO9" i="1"/>
  <c r="AO10" i="1"/>
  <c r="AO11" i="1"/>
  <c r="AO12" i="1"/>
  <c r="AO13" i="1"/>
  <c r="AO14" i="1"/>
  <c r="AO3" i="1"/>
  <c r="AO26" i="1"/>
  <c r="AO27" i="1"/>
  <c r="C75" i="1"/>
  <c r="AL84" i="1"/>
  <c r="AL83" i="1" s="1" a="1"/>
  <c r="AL83" i="1" s="1"/>
  <c r="AJ84" i="1"/>
  <c r="AJ83" i="1" s="1" a="1"/>
  <c r="AJ83" i="1" s="1"/>
  <c r="AH84" i="1"/>
  <c r="AH83" i="1" s="1" a="1"/>
  <c r="AH83" i="1" s="1"/>
  <c r="AF84" i="1"/>
  <c r="AF83" i="1" s="1" a="1"/>
  <c r="AF83" i="1" s="1"/>
  <c r="AD84" i="1"/>
  <c r="AD83" i="1" s="1"/>
  <c r="AB84" i="1"/>
  <c r="AB83" i="1" s="1" a="1"/>
  <c r="AB83" i="1" s="1"/>
  <c r="Z84" i="1"/>
  <c r="Z83" i="1" s="1" a="1"/>
  <c r="Z83" i="1" s="1"/>
  <c r="X84" i="1"/>
  <c r="X83" i="1" s="1" a="1"/>
  <c r="X83" i="1" s="1"/>
  <c r="V84" i="1"/>
  <c r="V83" i="1" s="1" a="1"/>
  <c r="V83" i="1" s="1"/>
  <c r="R84" i="1"/>
  <c r="R83" i="1" s="1" a="1"/>
  <c r="R83" i="1" s="1"/>
  <c r="P84" i="1"/>
  <c r="P83" i="1" s="1" a="1"/>
  <c r="P83" i="1" s="1"/>
  <c r="N84" i="1"/>
  <c r="N83" i="1" s="1" a="1"/>
  <c r="N83" i="1" s="1"/>
  <c r="J84" i="1"/>
  <c r="J83" i="1" s="1" a="1"/>
  <c r="J83" i="1" s="1"/>
  <c r="H84" i="1"/>
  <c r="H83" i="1" s="1" a="1"/>
  <c r="H83" i="1" s="1"/>
  <c r="F84" i="1"/>
  <c r="F83" i="1" s="1" a="1"/>
  <c r="F83" i="1" s="1"/>
  <c r="D84" i="1"/>
  <c r="D83" i="1" s="1" a="1"/>
  <c r="D83" i="1" s="1"/>
  <c r="B84" i="1"/>
  <c r="B83" i="1" s="1" a="1"/>
  <c r="B83" i="1" s="1"/>
  <c r="AL82" i="1"/>
  <c r="AL81" i="1" s="1" a="1"/>
  <c r="AL81" i="1" s="1"/>
  <c r="AJ82" i="1"/>
  <c r="AJ81" i="1" s="1" a="1"/>
  <c r="AJ81" i="1" s="1"/>
  <c r="AH82" i="1"/>
  <c r="AH81" i="1" s="1" a="1"/>
  <c r="AH81" i="1" s="1"/>
  <c r="AF82" i="1"/>
  <c r="AF81" i="1" s="1" a="1"/>
  <c r="AF81" i="1" s="1"/>
  <c r="AD82" i="1"/>
  <c r="AD81" i="1" s="1"/>
  <c r="AB82" i="1"/>
  <c r="AB81" i="1" s="1" a="1"/>
  <c r="AB81" i="1" s="1"/>
  <c r="Z82" i="1"/>
  <c r="Z81" i="1" s="1" a="1"/>
  <c r="Z81" i="1" s="1"/>
  <c r="X82" i="1"/>
  <c r="V82" i="1"/>
  <c r="V81" i="1" s="1" a="1"/>
  <c r="V81" i="1" s="1"/>
  <c r="R82" i="1"/>
  <c r="R81" i="1" s="1" a="1"/>
  <c r="R81" i="1" s="1"/>
  <c r="P82" i="1"/>
  <c r="P81" i="1" s="1" a="1"/>
  <c r="P81" i="1" s="1"/>
  <c r="N82" i="1"/>
  <c r="N81" i="1" s="1" a="1"/>
  <c r="N81" i="1" s="1"/>
  <c r="J82" i="1"/>
  <c r="J81" i="1" s="1" a="1"/>
  <c r="J81" i="1" s="1"/>
  <c r="H82" i="1"/>
  <c r="H81" i="1" s="1" a="1"/>
  <c r="H81" i="1" s="1"/>
  <c r="F82" i="1"/>
  <c r="F81" i="1" s="1" a="1"/>
  <c r="F81" i="1" s="1"/>
  <c r="D82" i="1"/>
  <c r="D81" i="1" s="1" a="1"/>
  <c r="D81" i="1" s="1"/>
  <c r="B82" i="1"/>
  <c r="B81" i="1" s="1" a="1"/>
  <c r="B81" i="1" s="1"/>
  <c r="AL80" i="1"/>
  <c r="AL79" i="1" s="1"/>
  <c r="AJ80" i="1"/>
  <c r="AJ79" i="1" s="1"/>
  <c r="AH80" i="1"/>
  <c r="AH79" i="1" s="1" a="1"/>
  <c r="AH79" i="1" s="1"/>
  <c r="AF80" i="1"/>
  <c r="AF79" i="1" s="1" a="1"/>
  <c r="AF79" i="1" s="1"/>
  <c r="AD80" i="1"/>
  <c r="AD79" i="1" s="1" a="1"/>
  <c r="AD79" i="1" s="1"/>
  <c r="AB80" i="1"/>
  <c r="AB79" i="1" s="1"/>
  <c r="Z80" i="1"/>
  <c r="Z79" i="1" s="1" a="1"/>
  <c r="Z79" i="1" s="1"/>
  <c r="X80" i="1"/>
  <c r="X79" i="1" s="1"/>
  <c r="V80" i="1"/>
  <c r="V79" i="1" s="1" a="1"/>
  <c r="V79" i="1" s="1"/>
  <c r="R80" i="1"/>
  <c r="R79" i="1" s="1" a="1"/>
  <c r="R79" i="1" s="1"/>
  <c r="P80" i="1"/>
  <c r="P79" i="1" s="1" a="1"/>
  <c r="P79" i="1" s="1"/>
  <c r="N80" i="1"/>
  <c r="N79" i="1" s="1" a="1"/>
  <c r="N79" i="1" s="1"/>
  <c r="J80" i="1"/>
  <c r="J79" i="1" s="1" a="1"/>
  <c r="J79" i="1" s="1"/>
  <c r="H80" i="1"/>
  <c r="H79" i="1" s="1" a="1"/>
  <c r="H79" i="1" s="1"/>
  <c r="F80" i="1"/>
  <c r="F79" i="1" s="1" a="1"/>
  <c r="F79" i="1" s="1"/>
  <c r="D80" i="1"/>
  <c r="D79" i="1" s="1" a="1"/>
  <c r="D79" i="1" s="1"/>
  <c r="B80" i="1"/>
  <c r="B79" i="1" s="1" a="1"/>
  <c r="B79" i="1" s="1"/>
  <c r="AM62" i="1"/>
  <c r="AK76" i="1"/>
  <c r="AC75" i="1"/>
  <c r="AA75" i="1"/>
  <c r="W76" i="1"/>
  <c r="E75" i="1"/>
  <c r="Q76" i="1"/>
  <c r="G76" i="1"/>
  <c r="AK75" i="1"/>
  <c r="AI75" i="1"/>
  <c r="S75" i="1"/>
  <c r="Q75" i="1"/>
  <c r="G75" i="1"/>
  <c r="AM71" i="1"/>
  <c r="AK71" i="1"/>
  <c r="AI71" i="1"/>
  <c r="AG71" i="1"/>
  <c r="AE71" i="1"/>
  <c r="AC71" i="1"/>
  <c r="AA71" i="1"/>
  <c r="Y71" i="1"/>
  <c r="W71" i="1"/>
  <c r="S71" i="1"/>
  <c r="Q71" i="1"/>
  <c r="O71" i="1"/>
  <c r="K71" i="1"/>
  <c r="I71" i="1"/>
  <c r="G71" i="1"/>
  <c r="E71" i="1"/>
  <c r="C71" i="1"/>
  <c r="AM70" i="1"/>
  <c r="AK70" i="1"/>
  <c r="AI70" i="1"/>
  <c r="AG70" i="1"/>
  <c r="AE70" i="1"/>
  <c r="AC70" i="1"/>
  <c r="AA70" i="1"/>
  <c r="Y70" i="1"/>
  <c r="W70" i="1"/>
  <c r="S70" i="1"/>
  <c r="Q70" i="1"/>
  <c r="O70" i="1"/>
  <c r="K70" i="1"/>
  <c r="I70" i="1"/>
  <c r="G70" i="1"/>
  <c r="E70" i="1"/>
  <c r="C70" i="1"/>
  <c r="AM69" i="1"/>
  <c r="AK69" i="1"/>
  <c r="AI69" i="1"/>
  <c r="AG69" i="1"/>
  <c r="AE69" i="1"/>
  <c r="AC69" i="1"/>
  <c r="AA69" i="1"/>
  <c r="Y69" i="1"/>
  <c r="W69" i="1"/>
  <c r="S69" i="1"/>
  <c r="Q69" i="1"/>
  <c r="O69" i="1"/>
  <c r="K69" i="1"/>
  <c r="I69" i="1"/>
  <c r="G69" i="1"/>
  <c r="E69" i="1"/>
  <c r="C69" i="1"/>
  <c r="AM68" i="1"/>
  <c r="AK68" i="1"/>
  <c r="AI68" i="1"/>
  <c r="AG68" i="1"/>
  <c r="AE68" i="1"/>
  <c r="AC68" i="1"/>
  <c r="AA68" i="1"/>
  <c r="Y68" i="1"/>
  <c r="W68" i="1"/>
  <c r="S68" i="1"/>
  <c r="Q68" i="1"/>
  <c r="O68" i="1"/>
  <c r="K68" i="1"/>
  <c r="I68" i="1"/>
  <c r="G68" i="1"/>
  <c r="E68" i="1"/>
  <c r="C68" i="1"/>
  <c r="AO65" i="1"/>
  <c r="AO64" i="1"/>
  <c r="AO63" i="1"/>
  <c r="AO62" i="1"/>
  <c r="AJ35" i="1"/>
  <c r="AJ34" i="1" s="1" a="1"/>
  <c r="AJ34" i="1" s="1"/>
  <c r="AH35" i="1"/>
  <c r="AH34" i="1" s="1" a="1"/>
  <c r="AH34" i="1" s="1"/>
  <c r="AF35" i="1"/>
  <c r="AF34" i="1" s="1" a="1"/>
  <c r="AF34" i="1" s="1"/>
  <c r="AD34" i="1" a="1"/>
  <c r="AD34" i="1" s="1"/>
  <c r="AB35" i="1"/>
  <c r="AB34" i="1" s="1" a="1"/>
  <c r="AB34" i="1" s="1"/>
  <c r="X35" i="1"/>
  <c r="X34" i="1" s="1"/>
  <c r="V35" i="1"/>
  <c r="V34" i="1" s="1" a="1"/>
  <c r="V34" i="1" s="1"/>
  <c r="R35" i="1"/>
  <c r="R34" i="1" s="1" a="1"/>
  <c r="R34" i="1" s="1"/>
  <c r="P35" i="1"/>
  <c r="P34" i="1" s="1"/>
  <c r="N35" i="1"/>
  <c r="N34" i="1" s="1" a="1"/>
  <c r="N34" i="1" s="1"/>
  <c r="J35" i="1"/>
  <c r="J34" i="1" s="1" a="1"/>
  <c r="J34" i="1" s="1"/>
  <c r="H35" i="1"/>
  <c r="H34" i="1" s="1" a="1"/>
  <c r="H34" i="1" s="1"/>
  <c r="F35" i="1"/>
  <c r="F34" i="1" s="1" a="1"/>
  <c r="F34" i="1" s="1"/>
  <c r="D35" i="1"/>
  <c r="D34" i="1" s="1" a="1"/>
  <c r="D34" i="1" s="1"/>
  <c r="B35" i="1"/>
  <c r="B34" i="1" s="1" a="1"/>
  <c r="B34" i="1" s="1"/>
  <c r="AJ33" i="1"/>
  <c r="AJ32" i="1" s="1" a="1"/>
  <c r="AJ32" i="1" s="1"/>
  <c r="AH33" i="1"/>
  <c r="AH32" i="1" s="1" a="1"/>
  <c r="AH32" i="1" s="1"/>
  <c r="AF33" i="1"/>
  <c r="AF32" i="1" s="1" a="1"/>
  <c r="AF32" i="1" s="1"/>
  <c r="AD32" i="1" a="1"/>
  <c r="AD32" i="1" s="1"/>
  <c r="AB33" i="1"/>
  <c r="AB32" i="1" s="1" a="1"/>
  <c r="AB32" i="1" s="1"/>
  <c r="V33" i="1"/>
  <c r="V32" i="1" s="1" a="1"/>
  <c r="V32" i="1" s="1"/>
  <c r="R32" i="1" a="1"/>
  <c r="R32" i="1" s="1"/>
  <c r="N33" i="1"/>
  <c r="N32" i="1" s="1" a="1"/>
  <c r="N32" i="1" s="1"/>
  <c r="J33" i="1"/>
  <c r="J32" i="1" s="1" a="1"/>
  <c r="J32" i="1" s="1"/>
  <c r="H33" i="1"/>
  <c r="H32" i="1" s="1" a="1"/>
  <c r="H32" i="1" s="1"/>
  <c r="F33" i="1"/>
  <c r="F32" i="1" s="1" a="1"/>
  <c r="F32" i="1" s="1"/>
  <c r="D33" i="1"/>
  <c r="D32" i="1" s="1" a="1"/>
  <c r="D32" i="1" s="1"/>
  <c r="B33" i="1"/>
  <c r="B32" i="1" s="1" a="1"/>
  <c r="B32" i="1" s="1"/>
  <c r="AJ31" i="1"/>
  <c r="AJ30" i="1" s="1" a="1"/>
  <c r="AJ30" i="1" s="1"/>
  <c r="AH31" i="1"/>
  <c r="AH30" i="1" s="1" a="1"/>
  <c r="AH30" i="1" s="1"/>
  <c r="AF31" i="1"/>
  <c r="AF30" i="1" s="1" a="1"/>
  <c r="AF30" i="1" s="1"/>
  <c r="AD30" i="1" a="1"/>
  <c r="AD30" i="1" s="1"/>
  <c r="AB31" i="1"/>
  <c r="AB30" i="1" s="1" a="1"/>
  <c r="AB30" i="1" s="1"/>
  <c r="X31" i="1"/>
  <c r="X30" i="1" s="1" a="1"/>
  <c r="X30" i="1" s="1"/>
  <c r="V31" i="1"/>
  <c r="V30" i="1" s="1" a="1"/>
  <c r="V30" i="1" s="1"/>
  <c r="R31" i="1"/>
  <c r="R30" i="1" s="1" a="1"/>
  <c r="R30" i="1" s="1"/>
  <c r="N31" i="1"/>
  <c r="N30" i="1" s="1"/>
  <c r="J31" i="1"/>
  <c r="J30" i="1" s="1" a="1"/>
  <c r="J30" i="1" s="1"/>
  <c r="H31" i="1"/>
  <c r="H30" i="1" s="1" a="1"/>
  <c r="H30" i="1" s="1"/>
  <c r="F31" i="1"/>
  <c r="F30" i="1" s="1" a="1"/>
  <c r="F30" i="1" s="1"/>
  <c r="D31" i="1"/>
  <c r="D30" i="1" s="1" a="1"/>
  <c r="D30" i="1" s="1"/>
  <c r="B31" i="1"/>
  <c r="B30" i="1" s="1" a="1"/>
  <c r="B30" i="1" s="1"/>
  <c r="AJ29" i="1"/>
  <c r="AD29" i="1"/>
  <c r="AB29" i="1"/>
  <c r="X29" i="1"/>
  <c r="V29" i="1"/>
  <c r="W26" i="1" s="1"/>
  <c r="R29" i="1"/>
  <c r="S12" i="1" s="1"/>
  <c r="P29" i="1"/>
  <c r="N29" i="1"/>
  <c r="O28" i="1" s="1"/>
  <c r="J29" i="1"/>
  <c r="H29" i="1"/>
  <c r="F29" i="1"/>
  <c r="D29" i="1"/>
  <c r="B29" i="1"/>
  <c r="C6" i="1" s="1"/>
  <c r="AI28" i="1"/>
  <c r="AG28" i="1"/>
  <c r="AE28" i="1"/>
  <c r="AC28" i="1"/>
  <c r="Y28" i="1"/>
  <c r="W28" i="1"/>
  <c r="U28" i="1"/>
  <c r="Q28" i="1"/>
  <c r="K28" i="1"/>
  <c r="I28" i="1"/>
  <c r="G28" i="1"/>
  <c r="E28" i="1"/>
  <c r="C28" i="1"/>
  <c r="AO25" i="1"/>
  <c r="AK24" i="1"/>
  <c r="AI24" i="1"/>
  <c r="AG24" i="1"/>
  <c r="AE24" i="1"/>
  <c r="AC24" i="1"/>
  <c r="Y24" i="1"/>
  <c r="W24" i="1"/>
  <c r="S24" i="1"/>
  <c r="Q24" i="1"/>
  <c r="O24" i="1"/>
  <c r="K24" i="1"/>
  <c r="I24" i="1"/>
  <c r="G24" i="1"/>
  <c r="E24" i="1"/>
  <c r="C24" i="1"/>
  <c r="AK22" i="1"/>
  <c r="AI22" i="1"/>
  <c r="AG22" i="1"/>
  <c r="AE22" i="1"/>
  <c r="AC22" i="1"/>
  <c r="Y22" i="1"/>
  <c r="W22" i="1"/>
  <c r="S22" i="1"/>
  <c r="Q22" i="1"/>
  <c r="O22" i="1"/>
  <c r="K22" i="1"/>
  <c r="I22" i="1"/>
  <c r="G22" i="1"/>
  <c r="E22" i="1"/>
  <c r="C22" i="1"/>
  <c r="AK21" i="1"/>
  <c r="AI21" i="1"/>
  <c r="AG21" i="1"/>
  <c r="AE21" i="1"/>
  <c r="AC21" i="1"/>
  <c r="Y21" i="1"/>
  <c r="W21" i="1"/>
  <c r="S21" i="1"/>
  <c r="Q21" i="1"/>
  <c r="O21" i="1"/>
  <c r="K21" i="1"/>
  <c r="I21" i="1"/>
  <c r="G21" i="1"/>
  <c r="E21" i="1"/>
  <c r="C21" i="1"/>
  <c r="AK20" i="1"/>
  <c r="AI20" i="1"/>
  <c r="AG20" i="1"/>
  <c r="AE20" i="1"/>
  <c r="AC20" i="1"/>
  <c r="Y20" i="1"/>
  <c r="W20" i="1"/>
  <c r="S20" i="1"/>
  <c r="Q20" i="1"/>
  <c r="O20" i="1"/>
  <c r="K20" i="1"/>
  <c r="I20" i="1"/>
  <c r="G20" i="1"/>
  <c r="E20" i="1"/>
  <c r="C20" i="1"/>
  <c r="AK18" i="1"/>
  <c r="AI18" i="1"/>
  <c r="AG18" i="1"/>
  <c r="AE18" i="1"/>
  <c r="AC18" i="1"/>
  <c r="Y18" i="1"/>
  <c r="W18" i="1"/>
  <c r="S18" i="1"/>
  <c r="Q18" i="1"/>
  <c r="O18" i="1"/>
  <c r="K18" i="1"/>
  <c r="I18" i="1"/>
  <c r="G18" i="1"/>
  <c r="E18" i="1"/>
  <c r="C18" i="1"/>
  <c r="AK17" i="1"/>
  <c r="AI17" i="1"/>
  <c r="AG17" i="1"/>
  <c r="AE17" i="1"/>
  <c r="AC17" i="1"/>
  <c r="Y17" i="1"/>
  <c r="W17" i="1"/>
  <c r="S17" i="1"/>
  <c r="Q17" i="1"/>
  <c r="O17" i="1"/>
  <c r="K17" i="1"/>
  <c r="I17" i="1"/>
  <c r="G17" i="1"/>
  <c r="E17" i="1"/>
  <c r="C17" i="1"/>
  <c r="AG16" i="1"/>
  <c r="AE16" i="1"/>
  <c r="Y16" i="1"/>
  <c r="W16" i="1"/>
  <c r="I16" i="1"/>
  <c r="M66" i="1" l="1"/>
  <c r="M64" i="1"/>
  <c r="M63" i="1"/>
  <c r="M62" i="1"/>
  <c r="M65" i="1"/>
  <c r="AK5" i="1"/>
  <c r="AJ78" i="1"/>
  <c r="AK66" i="1" s="1"/>
  <c r="AI7" i="1"/>
  <c r="AH78" i="1"/>
  <c r="AI63" i="1" s="1"/>
  <c r="AG25" i="1"/>
  <c r="AF78" i="1"/>
  <c r="AG66" i="1" s="1"/>
  <c r="AE15" i="1"/>
  <c r="AD78" i="1"/>
  <c r="AE62" i="1" s="1"/>
  <c r="AC14" i="1"/>
  <c r="AB78" i="1"/>
  <c r="AC67" i="1" s="1"/>
  <c r="Y25" i="1"/>
  <c r="X78" i="1"/>
  <c r="Y66" i="1" s="1"/>
  <c r="W15" i="1"/>
  <c r="V78" i="1"/>
  <c r="W63" i="1" s="1"/>
  <c r="S27" i="1"/>
  <c r="R78" i="1"/>
  <c r="S66" i="1" s="1"/>
  <c r="Q25" i="1"/>
  <c r="P78" i="1"/>
  <c r="Q65" i="1" s="1"/>
  <c r="O4" i="1"/>
  <c r="N78" i="1"/>
  <c r="O67" i="1" s="1"/>
  <c r="K25" i="1"/>
  <c r="J78" i="1"/>
  <c r="K66" i="1" s="1"/>
  <c r="I27" i="1"/>
  <c r="H78" i="1"/>
  <c r="I62" i="1" s="1"/>
  <c r="G25" i="1"/>
  <c r="F78" i="1"/>
  <c r="G67" i="1" s="1"/>
  <c r="E10" i="1"/>
  <c r="D78" i="1"/>
  <c r="E67" i="1" s="1"/>
  <c r="C11" i="1"/>
  <c r="B78" i="1"/>
  <c r="C62" i="1" s="1"/>
  <c r="C26" i="1"/>
  <c r="C25" i="1"/>
  <c r="Y10" i="1"/>
  <c r="Y26" i="1"/>
  <c r="Y12" i="1"/>
  <c r="Y11" i="1"/>
  <c r="AC10" i="1"/>
  <c r="Q26" i="1"/>
  <c r="E62" i="1"/>
  <c r="Q6" i="1"/>
  <c r="Q13" i="1"/>
  <c r="S26" i="1"/>
  <c r="Y9" i="1"/>
  <c r="Y3" i="1"/>
  <c r="Y4" i="1"/>
  <c r="Y5" i="1"/>
  <c r="Y7" i="1"/>
  <c r="Y8" i="1"/>
  <c r="Y14" i="1"/>
  <c r="Y15" i="1"/>
  <c r="Y6" i="1"/>
  <c r="G13" i="1"/>
  <c r="Y13" i="1"/>
  <c r="O15" i="1"/>
  <c r="AI26" i="1"/>
  <c r="AI27" i="1"/>
  <c r="AK62" i="1"/>
  <c r="AK63" i="1"/>
  <c r="AK6" i="1"/>
  <c r="AI10" i="1"/>
  <c r="AK26" i="1"/>
  <c r="W27" i="1"/>
  <c r="AI6" i="1"/>
  <c r="AI3" i="1"/>
  <c r="AI11" i="1"/>
  <c r="AK27" i="1"/>
  <c r="AG8" i="1"/>
  <c r="AG26" i="1"/>
  <c r="AG11" i="1"/>
  <c r="AG15" i="1"/>
  <c r="AG6" i="1"/>
  <c r="AG12" i="1"/>
  <c r="AG4" i="1"/>
  <c r="AG7" i="1"/>
  <c r="AG9" i="1"/>
  <c r="AG13" i="1"/>
  <c r="AG14" i="1"/>
  <c r="AG27" i="1"/>
  <c r="AG3" i="1"/>
  <c r="AG5" i="1"/>
  <c r="AG10" i="1"/>
  <c r="AE27" i="1"/>
  <c r="AE13" i="1"/>
  <c r="AE3" i="1"/>
  <c r="AE14" i="1"/>
  <c r="AE26" i="1"/>
  <c r="AE6" i="1"/>
  <c r="AA67" i="1"/>
  <c r="AA62" i="1"/>
  <c r="AC6" i="1"/>
  <c r="AC26" i="1"/>
  <c r="W13" i="1"/>
  <c r="W9" i="1"/>
  <c r="W7" i="1"/>
  <c r="W5" i="1"/>
  <c r="W10" i="1"/>
  <c r="W8" i="1"/>
  <c r="W12" i="1"/>
  <c r="W3" i="1"/>
  <c r="W4" i="1"/>
  <c r="AC27" i="1"/>
  <c r="Y27" i="1"/>
  <c r="W6" i="1"/>
  <c r="W14" i="1"/>
  <c r="S64" i="1"/>
  <c r="S3" i="1"/>
  <c r="Q27" i="1"/>
  <c r="Q7" i="1"/>
  <c r="Q10" i="1"/>
  <c r="Q11" i="1"/>
  <c r="Q3" i="1"/>
  <c r="Q9" i="1"/>
  <c r="Q15" i="1"/>
  <c r="Q14" i="1"/>
  <c r="AE5" i="1"/>
  <c r="O27" i="1"/>
  <c r="O6" i="1"/>
  <c r="O26" i="1"/>
  <c r="O10" i="1"/>
  <c r="O3" i="1"/>
  <c r="G15" i="1"/>
  <c r="I5" i="1"/>
  <c r="G11" i="1"/>
  <c r="I3" i="1"/>
  <c r="K3" i="1"/>
  <c r="I7" i="1"/>
  <c r="I15" i="1"/>
  <c r="I26" i="1"/>
  <c r="I6" i="1"/>
  <c r="I8" i="1"/>
  <c r="I9" i="1"/>
  <c r="I13" i="1"/>
  <c r="I4" i="1"/>
  <c r="I10" i="1"/>
  <c r="I11" i="1"/>
  <c r="I12" i="1"/>
  <c r="I14" i="1"/>
  <c r="I25" i="1"/>
  <c r="K26" i="1"/>
  <c r="E3" i="1"/>
  <c r="K4" i="1"/>
  <c r="E27" i="1"/>
  <c r="E26" i="1"/>
  <c r="G27" i="1"/>
  <c r="C27" i="1"/>
  <c r="K27" i="1"/>
  <c r="AC76" i="1"/>
  <c r="AA66" i="1"/>
  <c r="AA63" i="1"/>
  <c r="AA64" i="1"/>
  <c r="AE25" i="1"/>
  <c r="S76" i="1"/>
  <c r="G3" i="1"/>
  <c r="G6" i="1"/>
  <c r="G63" i="1"/>
  <c r="G14" i="1"/>
  <c r="G9" i="1"/>
  <c r="G10" i="1"/>
  <c r="G26" i="1"/>
  <c r="G7" i="1"/>
  <c r="G5" i="1"/>
  <c r="G4" i="1"/>
  <c r="AE4" i="1"/>
  <c r="AE7" i="1"/>
  <c r="AK10" i="1"/>
  <c r="AE12" i="1"/>
  <c r="W25" i="1"/>
  <c r="AG76" i="1"/>
  <c r="AK9" i="1"/>
  <c r="AE8" i="1"/>
  <c r="AE9" i="1"/>
  <c r="AE10" i="1"/>
  <c r="W62" i="1"/>
  <c r="T29" i="1"/>
  <c r="T34" i="1" a="1"/>
  <c r="T34" i="1" s="1"/>
  <c r="C76" i="1"/>
  <c r="Q5" i="1"/>
  <c r="Q4" i="1"/>
  <c r="E15" i="1"/>
  <c r="C12" i="1"/>
  <c r="C3" i="1"/>
  <c r="S14" i="1"/>
  <c r="S10" i="1"/>
  <c r="S6" i="1"/>
  <c r="S5" i="1"/>
  <c r="S13" i="1"/>
  <c r="S9" i="1"/>
  <c r="AE75" i="1"/>
  <c r="AM75" i="1"/>
  <c r="AM67" i="1"/>
  <c r="AM76" i="1"/>
  <c r="AM66" i="1"/>
  <c r="AM64" i="1"/>
  <c r="AM63" i="1"/>
  <c r="C4" i="1"/>
  <c r="K8" i="1"/>
  <c r="AI14" i="1"/>
  <c r="AI15" i="1"/>
  <c r="S16" i="1"/>
  <c r="O13" i="1"/>
  <c r="O9" i="1"/>
  <c r="O5" i="1"/>
  <c r="O16" i="1"/>
  <c r="O25" i="1"/>
  <c r="O12" i="1"/>
  <c r="O8" i="1"/>
  <c r="AM65" i="1"/>
  <c r="AE76" i="1"/>
  <c r="I67" i="1"/>
  <c r="I66" i="1"/>
  <c r="I65" i="1"/>
  <c r="I76" i="1"/>
  <c r="I75" i="1"/>
  <c r="T30" i="1" a="1"/>
  <c r="T30" i="1" s="1"/>
  <c r="E6" i="1"/>
  <c r="C7" i="1"/>
  <c r="S7" i="1"/>
  <c r="O14" i="1"/>
  <c r="C14" i="1"/>
  <c r="C10" i="1"/>
  <c r="C5" i="1"/>
  <c r="C13" i="1"/>
  <c r="C9" i="1"/>
  <c r="K14" i="1"/>
  <c r="K10" i="1"/>
  <c r="K6" i="1"/>
  <c r="K13" i="1"/>
  <c r="K9" i="1"/>
  <c r="K5" i="1"/>
  <c r="AC13" i="1"/>
  <c r="AC9" i="1"/>
  <c r="AC5" i="1"/>
  <c r="AC4" i="1"/>
  <c r="AC25" i="1"/>
  <c r="AC16" i="1"/>
  <c r="AC12" i="1"/>
  <c r="AC8" i="1"/>
  <c r="AI13" i="1"/>
  <c r="AI9" i="1"/>
  <c r="AI5" i="1"/>
  <c r="AI4" i="1"/>
  <c r="AI25" i="1"/>
  <c r="AI16" i="1"/>
  <c r="AI12" i="1"/>
  <c r="AI8" i="1"/>
  <c r="W75" i="1"/>
  <c r="W67" i="1"/>
  <c r="W64" i="1"/>
  <c r="W65" i="1"/>
  <c r="AC3" i="1"/>
  <c r="C16" i="1"/>
  <c r="E13" i="1"/>
  <c r="E9" i="1"/>
  <c r="E5" i="1"/>
  <c r="E12" i="1"/>
  <c r="E8" i="1"/>
  <c r="E25" i="1"/>
  <c r="E16" i="1"/>
  <c r="E4" i="1"/>
  <c r="AK25" i="1"/>
  <c r="AK16" i="1"/>
  <c r="AK12" i="1"/>
  <c r="AK8" i="1"/>
  <c r="AK4" i="1"/>
  <c r="AK11" i="1"/>
  <c r="AK7" i="1"/>
  <c r="AK3" i="1"/>
  <c r="AK15" i="1"/>
  <c r="K7" i="1"/>
  <c r="K11" i="1"/>
  <c r="S11" i="1"/>
  <c r="AC11" i="1"/>
  <c r="K12" i="1"/>
  <c r="AK13" i="1"/>
  <c r="AK14" i="1"/>
  <c r="S4" i="1"/>
  <c r="T32" i="1" a="1"/>
  <c r="T32" i="1" s="1"/>
  <c r="E7" i="1"/>
  <c r="O7" i="1"/>
  <c r="AC7" i="1"/>
  <c r="C8" i="1"/>
  <c r="S8" i="1"/>
  <c r="E11" i="1"/>
  <c r="O11" i="1"/>
  <c r="E14" i="1"/>
  <c r="C15" i="1"/>
  <c r="K15" i="1"/>
  <c r="S15" i="1"/>
  <c r="AC15" i="1"/>
  <c r="K16" i="1"/>
  <c r="S25" i="1"/>
  <c r="G8" i="1"/>
  <c r="Q8" i="1"/>
  <c r="W11" i="1"/>
  <c r="AE11" i="1"/>
  <c r="G12" i="1"/>
  <c r="Q12" i="1"/>
  <c r="G16" i="1"/>
  <c r="Q16" i="1"/>
  <c r="Y65" i="1"/>
  <c r="K75" i="1"/>
  <c r="AG75" i="1"/>
  <c r="K76" i="1"/>
  <c r="E76" i="1"/>
  <c r="O76" i="1"/>
  <c r="AA76" i="1"/>
  <c r="AA65" i="1"/>
  <c r="AI76" i="1"/>
  <c r="AG64" i="1" l="1"/>
  <c r="AK67" i="1"/>
  <c r="AI62" i="1"/>
  <c r="S63" i="1"/>
  <c r="AI67" i="1"/>
  <c r="G65" i="1"/>
  <c r="Y63" i="1"/>
  <c r="AI65" i="1"/>
  <c r="W66" i="1"/>
  <c r="AI66" i="1"/>
  <c r="AK64" i="1"/>
  <c r="G62" i="1"/>
  <c r="AK65" i="1"/>
  <c r="AC66" i="1"/>
  <c r="S62" i="1"/>
  <c r="AC63" i="1"/>
  <c r="AE65" i="1"/>
  <c r="AE66" i="1"/>
  <c r="G66" i="1"/>
  <c r="AG62" i="1"/>
  <c r="AI64" i="1"/>
  <c r="AG63" i="1"/>
  <c r="AG65" i="1"/>
  <c r="AE63" i="1"/>
  <c r="AE64" i="1"/>
  <c r="AE67" i="1"/>
  <c r="Y64" i="1"/>
  <c r="Y62" i="1"/>
  <c r="Y67" i="1"/>
  <c r="S65" i="1"/>
  <c r="S67" i="1"/>
  <c r="AC62" i="1"/>
  <c r="AC64" i="1"/>
  <c r="E65" i="1"/>
  <c r="E64" i="1"/>
  <c r="E63" i="1"/>
  <c r="AC65" i="1"/>
  <c r="Q66" i="1"/>
  <c r="Q62" i="1"/>
  <c r="Q67" i="1"/>
  <c r="Q63" i="1"/>
  <c r="C65" i="1"/>
  <c r="E66" i="1"/>
  <c r="O66" i="1"/>
  <c r="O65" i="1"/>
  <c r="O64" i="1"/>
  <c r="O63" i="1"/>
  <c r="O62" i="1"/>
  <c r="I63" i="1"/>
  <c r="I64" i="1"/>
  <c r="K62" i="1"/>
  <c r="K65" i="1"/>
  <c r="K63" i="1"/>
  <c r="K64" i="1"/>
  <c r="K67" i="1"/>
  <c r="G64" i="1"/>
  <c r="C67" i="1"/>
  <c r="C64" i="1"/>
  <c r="C63" i="1"/>
  <c r="AG67" i="1"/>
  <c r="AP26" i="1"/>
  <c r="Q64" i="1"/>
  <c r="AP13" i="1"/>
  <c r="AP14" i="1"/>
  <c r="AP5" i="1"/>
  <c r="AP10" i="1"/>
  <c r="AP11" i="1"/>
  <c r="AP8" i="1"/>
  <c r="AP9" i="1"/>
  <c r="C66" i="1"/>
  <c r="AP27" i="1"/>
  <c r="AP6" i="1"/>
  <c r="AP3" i="1"/>
  <c r="AP12" i="1"/>
  <c r="AP25" i="1"/>
  <c r="AP7" i="1"/>
  <c r="AP4" i="1"/>
  <c r="AP65" i="1" l="1"/>
  <c r="AP67" i="1"/>
  <c r="AP66" i="1"/>
  <c r="AQ26" i="1"/>
  <c r="AQ14" i="1"/>
  <c r="AP62" i="1"/>
  <c r="AQ27" i="1"/>
  <c r="AQ25" i="1"/>
  <c r="AP64" i="1"/>
  <c r="AP63" i="1"/>
  <c r="AQ7" i="1"/>
  <c r="AQ3" i="1"/>
  <c r="AQ4" i="1"/>
  <c r="AQ8" i="1"/>
  <c r="AQ6" i="1"/>
  <c r="AQ11" i="1"/>
  <c r="AQ9" i="1"/>
  <c r="AQ13" i="1"/>
  <c r="AQ5" i="1"/>
  <c r="AQ10" i="1"/>
  <c r="AQ12" i="1"/>
  <c r="AQ62" i="1" l="1"/>
  <c r="AQ66" i="1"/>
  <c r="AQ67" i="1"/>
  <c r="AQ63" i="1"/>
  <c r="AQ64" i="1"/>
  <c r="AQ65" i="1"/>
  <c r="AS27" i="1"/>
  <c r="AT27" i="1" s="1"/>
  <c r="AS26" i="1"/>
  <c r="AT26" i="1" s="1"/>
  <c r="AS25" i="1"/>
  <c r="AT25" i="1" s="1"/>
  <c r="AS3" i="1"/>
  <c r="AT3" i="1" s="1"/>
  <c r="AS11" i="1"/>
  <c r="AT11" i="1" s="1"/>
  <c r="AS7" i="1"/>
  <c r="AT7" i="1" s="1"/>
  <c r="AS14" i="1"/>
  <c r="AT14" i="1" s="1"/>
  <c r="AS10" i="1"/>
  <c r="AT10" i="1" s="1"/>
  <c r="AS6" i="1"/>
  <c r="AT6" i="1" s="1"/>
  <c r="AS8" i="1"/>
  <c r="AT8" i="1" s="1"/>
  <c r="AS4" i="1"/>
  <c r="AT4" i="1" s="1"/>
  <c r="AS13" i="1"/>
  <c r="AT13" i="1" s="1"/>
  <c r="AS12" i="1"/>
  <c r="AT12" i="1" s="1"/>
  <c r="AS9" i="1"/>
  <c r="AT9" i="1" s="1"/>
  <c r="AS5" i="1"/>
  <c r="AT5" i="1" s="1"/>
  <c r="AS66" i="1" l="1"/>
  <c r="AT66" i="1" s="1"/>
  <c r="AS62" i="1"/>
  <c r="AT62" i="1" s="1"/>
  <c r="AS67" i="1"/>
  <c r="AT67" i="1" s="1"/>
  <c r="AS64" i="1"/>
  <c r="AT64" i="1" s="1"/>
  <c r="AS65" i="1"/>
  <c r="AT65" i="1" s="1"/>
  <c r="AS63" i="1"/>
  <c r="AT63" i="1" s="1"/>
</calcChain>
</file>

<file path=xl/sharedStrings.xml><?xml version="1.0" encoding="utf-8"?>
<sst xmlns="http://schemas.openxmlformats.org/spreadsheetml/2006/main" count="223" uniqueCount="77">
  <si>
    <t>Singles Canoeing</t>
  </si>
  <si>
    <t>Doubles Canoeing</t>
  </si>
  <si>
    <t>Team Pulp Toss</t>
  </si>
  <si>
    <t>Log Rolling</t>
  </si>
  <si>
    <t>Packboard Relay</t>
  </si>
  <si>
    <t>Axe Throw</t>
  </si>
  <si>
    <t>Single Buck</t>
  </si>
  <si>
    <t>Birling</t>
  </si>
  <si>
    <t>Chain Throw</t>
  </si>
  <si>
    <t>Disc Stack</t>
  </si>
  <si>
    <t>Vertical Chop</t>
  </si>
  <si>
    <t>Scoot Load</t>
  </si>
  <si>
    <t>Crosscut Sawing</t>
  </si>
  <si>
    <t>Horizontal Chop</t>
  </si>
  <si>
    <t>Splitting</t>
  </si>
  <si>
    <t>Teams</t>
  </si>
  <si>
    <t>Time</t>
  </si>
  <si>
    <t>Score</t>
  </si>
  <si>
    <t>Mark</t>
  </si>
  <si>
    <t>Raw Pts</t>
  </si>
  <si>
    <t>TEAM</t>
  </si>
  <si>
    <t>TOTAL</t>
  </si>
  <si>
    <t>RANK</t>
  </si>
  <si>
    <t>Rank</t>
  </si>
  <si>
    <t>Team</t>
  </si>
  <si>
    <t>Dartmouth A</t>
  </si>
  <si>
    <t>Dartmouth B</t>
  </si>
  <si>
    <t>Top U-Grad Score</t>
  </si>
  <si>
    <t>1st Place</t>
  </si>
  <si>
    <t>Result</t>
  </si>
  <si>
    <t>2nd Place</t>
  </si>
  <si>
    <t>3rd Place</t>
  </si>
  <si>
    <t>Portage</t>
  </si>
  <si>
    <t>J&amp;J</t>
  </si>
  <si>
    <t>UNH</t>
  </si>
  <si>
    <t>UVM</t>
  </si>
  <si>
    <t>Best time</t>
  </si>
  <si>
    <t>Score from final</t>
  </si>
  <si>
    <t>Colby Alum</t>
  </si>
  <si>
    <t>Pole Climb</t>
  </si>
  <si>
    <t xml:space="preserve"> </t>
  </si>
  <si>
    <t>(TIE)</t>
  </si>
  <si>
    <t>Colby A</t>
  </si>
  <si>
    <t>Colby B</t>
  </si>
  <si>
    <t>Colby C</t>
  </si>
  <si>
    <t>Other Undergrad</t>
  </si>
  <si>
    <t>Dartmouth Alum A</t>
  </si>
  <si>
    <t>Dartmouth Alum B</t>
  </si>
  <si>
    <t>Team Bow Saw</t>
  </si>
  <si>
    <t>Firebuild</t>
  </si>
  <si>
    <t>Kevin Donohue '21, Head Scorer</t>
  </si>
  <si>
    <t>Ranger J&amp;J</t>
  </si>
  <si>
    <t>Paul Smith's J&amp;J1</t>
  </si>
  <si>
    <t>Paul Smith's J&amp;J2</t>
  </si>
  <si>
    <t>UConn J&amp;J A</t>
  </si>
  <si>
    <t>UConn J&amp;J B</t>
  </si>
  <si>
    <t>UNH J</t>
  </si>
  <si>
    <t>UNH K</t>
  </si>
  <si>
    <t>Dartmouth C</t>
  </si>
  <si>
    <t>Paul Smith's M1</t>
  </si>
  <si>
    <t>Paul Smith's M2</t>
  </si>
  <si>
    <t>Ranger Men</t>
  </si>
  <si>
    <t>UNH Men's</t>
  </si>
  <si>
    <t>Other UGrad Teams</t>
  </si>
  <si>
    <t>Top COMPETING Score</t>
  </si>
  <si>
    <t>Ranger Men's</t>
  </si>
  <si>
    <t>DNF</t>
  </si>
  <si>
    <t>Scored proportionally - no birl-off</t>
  </si>
  <si>
    <t>Dart Alum C: 4:49.9</t>
  </si>
  <si>
    <t>Dart Alum D: 7:22.0</t>
  </si>
  <si>
    <t>Dart Alum C: 7:22.9</t>
  </si>
  <si>
    <t>Dart Alum D: 8:42.0</t>
  </si>
  <si>
    <t>Dart Alum E: 9:42.0</t>
  </si>
  <si>
    <t>Dart Alum C: 9:45.0</t>
  </si>
  <si>
    <t>Dart Alum C: 00:45.04</t>
  </si>
  <si>
    <t>Birl-Off</t>
  </si>
  <si>
    <t>4th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</si>
</sst>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:ss.00"/>
  </numFmts>
  <fonts count="7">
    <font>
      <sz val="10"/>
      <color rgb="FF000000"/>
      <name val="Arimo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mo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000000"/>
        <bgColor rgb="FF000000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D8D8D8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rgb="FF000000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80">
    <xf numFmtId="0" fontId="0" fillId="0" borderId="0" xfId="0"/>
    <xf numFmtId="0" fontId="1" fillId="0" borderId="2" xfId="0" applyFont="1" applyBorder="1"/>
    <xf numFmtId="0" fontId="2" fillId="0" borderId="3" xfId="0" applyFont="1" applyBorder="1"/>
    <xf numFmtId="47" fontId="1" fillId="0" borderId="2" xfId="0" applyNumberFormat="1" applyFont="1" applyBorder="1"/>
    <xf numFmtId="1" fontId="1" fillId="0" borderId="2" xfId="0" applyNumberFormat="1" applyFont="1" applyBorder="1"/>
    <xf numFmtId="0" fontId="1" fillId="0" borderId="4" xfId="0" applyFont="1" applyBorder="1"/>
    <xf numFmtId="0" fontId="1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/>
    <xf numFmtId="0" fontId="1" fillId="2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2" fillId="0" borderId="8" xfId="0" applyFont="1" applyBorder="1" applyAlignment="1">
      <alignment horizontal="right"/>
    </xf>
    <xf numFmtId="2" fontId="1" fillId="0" borderId="7" xfId="0" applyNumberFormat="1" applyFont="1" applyBorder="1"/>
    <xf numFmtId="47" fontId="1" fillId="0" borderId="7" xfId="0" applyNumberFormat="1" applyFont="1" applyBorder="1"/>
    <xf numFmtId="1" fontId="1" fillId="0" borderId="7" xfId="0" applyNumberFormat="1" applyFont="1" applyBorder="1"/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1" fontId="3" fillId="3" borderId="11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/>
    <xf numFmtId="164" fontId="3" fillId="3" borderId="5" xfId="0" applyNumberFormat="1" applyFont="1" applyFill="1" applyBorder="1"/>
    <xf numFmtId="0" fontId="0" fillId="2" borderId="12" xfId="0" applyFill="1" applyBorder="1"/>
    <xf numFmtId="47" fontId="1" fillId="2" borderId="13" xfId="0" applyNumberFormat="1" applyFont="1" applyFill="1" applyBorder="1"/>
    <xf numFmtId="164" fontId="2" fillId="2" borderId="14" xfId="0" applyNumberFormat="1" applyFont="1" applyFill="1" applyBorder="1"/>
    <xf numFmtId="47" fontId="0" fillId="2" borderId="5" xfId="0" applyNumberFormat="1" applyFill="1" applyBorder="1"/>
    <xf numFmtId="1" fontId="1" fillId="2" borderId="13" xfId="0" applyNumberFormat="1" applyFont="1" applyFill="1" applyBorder="1"/>
    <xf numFmtId="164" fontId="1" fillId="2" borderId="13" xfId="0" applyNumberFormat="1" applyFont="1" applyFill="1" applyBorder="1"/>
    <xf numFmtId="0" fontId="0" fillId="2" borderId="15" xfId="0" applyFill="1" applyBorder="1"/>
    <xf numFmtId="164" fontId="2" fillId="2" borderId="16" xfId="0" applyNumberFormat="1" applyFont="1" applyFill="1" applyBorder="1" applyAlignment="1">
      <alignment horizontal="center"/>
    </xf>
    <xf numFmtId="1" fontId="2" fillId="2" borderId="17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164" fontId="1" fillId="2" borderId="5" xfId="0" applyNumberFormat="1" applyFont="1" applyFill="1" applyBorder="1"/>
    <xf numFmtId="0" fontId="0" fillId="0" borderId="4" xfId="0" applyBorder="1"/>
    <xf numFmtId="47" fontId="1" fillId="0" borderId="4" xfId="0" applyNumberFormat="1" applyFont="1" applyBorder="1"/>
    <xf numFmtId="164" fontId="2" fillId="0" borderId="18" xfId="0" applyNumberFormat="1" applyFont="1" applyBorder="1"/>
    <xf numFmtId="47" fontId="0" fillId="0" borderId="0" xfId="0" applyNumberFormat="1"/>
    <xf numFmtId="47" fontId="1" fillId="0" borderId="0" xfId="0" applyNumberFormat="1" applyFont="1"/>
    <xf numFmtId="1" fontId="1" fillId="0" borderId="4" xfId="0" applyNumberFormat="1" applyFont="1" applyBorder="1"/>
    <xf numFmtId="164" fontId="1" fillId="0" borderId="4" xfId="0" applyNumberFormat="1" applyFont="1" applyBorder="1"/>
    <xf numFmtId="0" fontId="0" fillId="0" borderId="19" xfId="0" applyBorder="1"/>
    <xf numFmtId="164" fontId="2" fillId="0" borderId="20" xfId="0" applyNumberFormat="1" applyFont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47" fontId="1" fillId="2" borderId="12" xfId="0" applyNumberFormat="1" applyFont="1" applyFill="1" applyBorder="1"/>
    <xf numFmtId="164" fontId="2" fillId="2" borderId="22" xfId="0" applyNumberFormat="1" applyFont="1" applyFill="1" applyBorder="1"/>
    <xf numFmtId="47" fontId="1" fillId="2" borderId="5" xfId="0" applyNumberFormat="1" applyFont="1" applyFill="1" applyBorder="1"/>
    <xf numFmtId="1" fontId="1" fillId="2" borderId="12" xfId="0" applyNumberFormat="1" applyFont="1" applyFill="1" applyBorder="1"/>
    <xf numFmtId="164" fontId="1" fillId="2" borderId="12" xfId="0" applyNumberFormat="1" applyFont="1" applyFill="1" applyBorder="1"/>
    <xf numFmtId="1" fontId="2" fillId="2" borderId="23" xfId="0" applyNumberFormat="1" applyFont="1" applyFill="1" applyBorder="1" applyAlignment="1">
      <alignment horizontal="center"/>
    </xf>
    <xf numFmtId="0" fontId="1" fillId="2" borderId="12" xfId="0" applyFont="1" applyFill="1" applyBorder="1"/>
    <xf numFmtId="164" fontId="2" fillId="0" borderId="0" xfId="0" applyNumberFormat="1" applyFont="1"/>
    <xf numFmtId="1" fontId="1" fillId="2" borderId="5" xfId="0" applyNumberFormat="1" applyFont="1" applyFill="1" applyBorder="1"/>
    <xf numFmtId="164" fontId="2" fillId="2" borderId="5" xfId="0" applyNumberFormat="1" applyFont="1" applyFill="1" applyBorder="1" applyAlignment="1">
      <alignment horizontal="center"/>
    </xf>
    <xf numFmtId="164" fontId="2" fillId="0" borderId="8" xfId="0" applyNumberFormat="1" applyFont="1" applyBorder="1"/>
    <xf numFmtId="47" fontId="1" fillId="0" borderId="24" xfId="0" applyNumberFormat="1" applyFont="1" applyBorder="1"/>
    <xf numFmtId="1" fontId="2" fillId="0" borderId="26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2" borderId="16" xfId="0" applyFont="1" applyFill="1" applyBorder="1"/>
    <xf numFmtId="0" fontId="1" fillId="0" borderId="20" xfId="0" applyFont="1" applyBorder="1"/>
    <xf numFmtId="0" fontId="1" fillId="0" borderId="28" xfId="0" applyFont="1" applyBorder="1"/>
    <xf numFmtId="0" fontId="1" fillId="2" borderId="27" xfId="0" applyFont="1" applyFill="1" applyBorder="1"/>
    <xf numFmtId="0" fontId="1" fillId="2" borderId="14" xfId="0" applyFont="1" applyFill="1" applyBorder="1"/>
    <xf numFmtId="47" fontId="1" fillId="2" borderId="14" xfId="0" applyNumberFormat="1" applyFont="1" applyFill="1" applyBorder="1"/>
    <xf numFmtId="0" fontId="2" fillId="0" borderId="1" xfId="0" applyFont="1" applyBorder="1"/>
    <xf numFmtId="47" fontId="2" fillId="0" borderId="3" xfId="0" applyNumberFormat="1" applyFont="1" applyBorder="1"/>
    <xf numFmtId="0" fontId="1" fillId="0" borderId="6" xfId="0" applyFont="1" applyBorder="1" applyAlignment="1">
      <alignment horizontal="right"/>
    </xf>
    <xf numFmtId="47" fontId="2" fillId="0" borderId="8" xfId="0" applyNumberFormat="1" applyFont="1" applyBorder="1"/>
    <xf numFmtId="0" fontId="2" fillId="0" borderId="8" xfId="0" applyFont="1" applyBorder="1"/>
    <xf numFmtId="0" fontId="2" fillId="2" borderId="27" xfId="0" applyFont="1" applyFill="1" applyBorder="1"/>
    <xf numFmtId="0" fontId="1" fillId="2" borderId="13" xfId="0" applyFont="1" applyFill="1" applyBorder="1"/>
    <xf numFmtId="47" fontId="2" fillId="2" borderId="14" xfId="0" applyNumberFormat="1" applyFont="1" applyFill="1" applyBorder="1"/>
    <xf numFmtId="0" fontId="2" fillId="2" borderId="14" xfId="0" applyFont="1" applyFill="1" applyBorder="1"/>
    <xf numFmtId="0" fontId="2" fillId="2" borderId="5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right"/>
    </xf>
    <xf numFmtId="47" fontId="1" fillId="2" borderId="32" xfId="0" applyNumberFormat="1" applyFont="1" applyFill="1" applyBorder="1"/>
    <xf numFmtId="47" fontId="2" fillId="2" borderId="33" xfId="0" applyNumberFormat="1" applyFont="1" applyFill="1" applyBorder="1"/>
    <xf numFmtId="1" fontId="1" fillId="2" borderId="32" xfId="0" applyNumberFormat="1" applyFont="1" applyFill="1" applyBorder="1"/>
    <xf numFmtId="0" fontId="2" fillId="2" borderId="33" xfId="0" applyFont="1" applyFill="1" applyBorder="1"/>
    <xf numFmtId="0" fontId="1" fillId="2" borderId="32" xfId="0" applyFont="1" applyFill="1" applyBorder="1"/>
    <xf numFmtId="0" fontId="1" fillId="2" borderId="5" xfId="0" applyFont="1" applyFill="1" applyBorder="1" applyAlignment="1">
      <alignment horizontal="right"/>
    </xf>
    <xf numFmtId="47" fontId="2" fillId="2" borderId="5" xfId="0" applyNumberFormat="1" applyFont="1" applyFill="1" applyBorder="1"/>
    <xf numFmtId="0" fontId="2" fillId="2" borderId="5" xfId="0" applyFont="1" applyFill="1" applyBorder="1"/>
    <xf numFmtId="1" fontId="2" fillId="2" borderId="5" xfId="0" applyNumberFormat="1" applyFont="1" applyFill="1" applyBorder="1"/>
    <xf numFmtId="2" fontId="1" fillId="2" borderId="5" xfId="0" applyNumberFormat="1" applyFont="1" applyFill="1" applyBorder="1"/>
    <xf numFmtId="47" fontId="1" fillId="0" borderId="34" xfId="0" applyNumberFormat="1" applyFont="1" applyBorder="1"/>
    <xf numFmtId="20" fontId="0" fillId="2" borderId="5" xfId="0" applyNumberFormat="1" applyFill="1" applyBorder="1"/>
    <xf numFmtId="20" fontId="0" fillId="0" borderId="0" xfId="0" applyNumberFormat="1"/>
    <xf numFmtId="0" fontId="1" fillId="2" borderId="31" xfId="0" applyFont="1" applyFill="1" applyBorder="1"/>
    <xf numFmtId="0" fontId="1" fillId="2" borderId="35" xfId="0" applyFont="1" applyFill="1" applyBorder="1"/>
    <xf numFmtId="2" fontId="1" fillId="2" borderId="35" xfId="0" applyNumberFormat="1" applyFont="1" applyFill="1" applyBorder="1"/>
    <xf numFmtId="47" fontId="1" fillId="2" borderId="35" xfId="0" applyNumberFormat="1" applyFont="1" applyFill="1" applyBorder="1"/>
    <xf numFmtId="1" fontId="1" fillId="2" borderId="35" xfId="0" applyNumberFormat="1" applyFont="1" applyFill="1" applyBorder="1"/>
    <xf numFmtId="2" fontId="1" fillId="2" borderId="32" xfId="0" applyNumberFormat="1" applyFont="1" applyFill="1" applyBorder="1"/>
    <xf numFmtId="0" fontId="1" fillId="2" borderId="15" xfId="0" applyFont="1" applyFill="1" applyBorder="1"/>
    <xf numFmtId="0" fontId="2" fillId="2" borderId="16" xfId="0" applyFont="1" applyFill="1" applyBorder="1"/>
    <xf numFmtId="1" fontId="2" fillId="2" borderId="17" xfId="0" applyNumberFormat="1" applyFont="1" applyFill="1" applyBorder="1"/>
    <xf numFmtId="164" fontId="2" fillId="0" borderId="3" xfId="0" applyNumberFormat="1" applyFont="1" applyBorder="1"/>
    <xf numFmtId="47" fontId="0" fillId="0" borderId="34" xfId="0" applyNumberFormat="1" applyBorder="1"/>
    <xf numFmtId="21" fontId="0" fillId="0" borderId="34" xfId="0" applyNumberFormat="1" applyBorder="1"/>
    <xf numFmtId="164" fontId="1" fillId="0" borderId="2" xfId="0" applyNumberFormat="1" applyFont="1" applyBorder="1"/>
    <xf numFmtId="47" fontId="0" fillId="0" borderId="2" xfId="0" applyNumberFormat="1" applyBorder="1"/>
    <xf numFmtId="0" fontId="1" fillId="0" borderId="36" xfId="0" applyFont="1" applyBorder="1"/>
    <xf numFmtId="164" fontId="2" fillId="0" borderId="1" xfId="0" applyNumberFormat="1" applyFont="1" applyBorder="1" applyAlignment="1">
      <alignment horizontal="center"/>
    </xf>
    <xf numFmtId="1" fontId="2" fillId="0" borderId="37" xfId="0" applyNumberFormat="1" applyFont="1" applyBorder="1" applyAlignment="1">
      <alignment horizontal="center"/>
    </xf>
    <xf numFmtId="164" fontId="2" fillId="2" borderId="33" xfId="0" applyNumberFormat="1" applyFont="1" applyFill="1" applyBorder="1"/>
    <xf numFmtId="47" fontId="0" fillId="2" borderId="35" xfId="0" applyNumberFormat="1" applyFill="1" applyBorder="1"/>
    <xf numFmtId="21" fontId="0" fillId="2" borderId="35" xfId="0" applyNumberFormat="1" applyFill="1" applyBorder="1"/>
    <xf numFmtId="164" fontId="1" fillId="2" borderId="32" xfId="0" applyNumberFormat="1" applyFont="1" applyFill="1" applyBorder="1"/>
    <xf numFmtId="164" fontId="2" fillId="0" borderId="29" xfId="0" applyNumberFormat="1" applyFont="1" applyBorder="1" applyAlignment="1">
      <alignment horizontal="center"/>
    </xf>
    <xf numFmtId="1" fontId="2" fillId="0" borderId="30" xfId="0" applyNumberFormat="1" applyFont="1" applyBorder="1" applyAlignment="1">
      <alignment horizontal="center"/>
    </xf>
    <xf numFmtId="2" fontId="2" fillId="0" borderId="3" xfId="0" applyNumberFormat="1" applyFont="1" applyBorder="1"/>
    <xf numFmtId="2" fontId="2" fillId="0" borderId="8" xfId="0" applyNumberFormat="1" applyFont="1" applyBorder="1"/>
    <xf numFmtId="2" fontId="2" fillId="2" borderId="14" xfId="0" applyNumberFormat="1" applyFont="1" applyFill="1" applyBorder="1"/>
    <xf numFmtId="2" fontId="2" fillId="2" borderId="33" xfId="0" applyNumberFormat="1" applyFont="1" applyFill="1" applyBorder="1"/>
    <xf numFmtId="0" fontId="1" fillId="0" borderId="20" xfId="0" applyFont="1" applyBorder="1" applyAlignment="1">
      <alignment horizontal="right"/>
    </xf>
    <xf numFmtId="0" fontId="2" fillId="0" borderId="18" xfId="0" applyFont="1" applyBorder="1"/>
    <xf numFmtId="2" fontId="2" fillId="0" borderId="18" xfId="0" applyNumberFormat="1" applyFont="1" applyBorder="1"/>
    <xf numFmtId="47" fontId="1" fillId="0" borderId="18" xfId="0" applyNumberFormat="1" applyFont="1" applyBorder="1"/>
    <xf numFmtId="0" fontId="1" fillId="2" borderId="38" xfId="0" applyFont="1" applyFill="1" applyBorder="1"/>
    <xf numFmtId="47" fontId="1" fillId="2" borderId="38" xfId="0" applyNumberFormat="1" applyFont="1" applyFill="1" applyBorder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3" xfId="0" applyFont="1" applyFill="1" applyBorder="1" applyAlignment="1">
      <alignment horizontal="right"/>
    </xf>
    <xf numFmtId="0" fontId="5" fillId="0" borderId="20" xfId="0" applyFont="1" applyBorder="1"/>
    <xf numFmtId="0" fontId="5" fillId="2" borderId="16" xfId="0" applyFont="1" applyFill="1" applyBorder="1"/>
    <xf numFmtId="0" fontId="5" fillId="2" borderId="31" xfId="0" applyFont="1" applyFill="1" applyBorder="1"/>
    <xf numFmtId="0" fontId="5" fillId="0" borderId="1" xfId="0" applyFont="1" applyBorder="1"/>
    <xf numFmtId="2" fontId="0" fillId="0" borderId="5" xfId="0" applyNumberFormat="1" applyBorder="1" applyAlignment="1">
      <alignment horizontal="center"/>
    </xf>
    <xf numFmtId="47" fontId="1" fillId="4" borderId="12" xfId="0" applyNumberFormat="1" applyFont="1" applyFill="1" applyBorder="1"/>
    <xf numFmtId="164" fontId="2" fillId="5" borderId="18" xfId="0" applyNumberFormat="1" applyFont="1" applyFill="1" applyBorder="1"/>
    <xf numFmtId="47" fontId="0" fillId="4" borderId="5" xfId="0" applyNumberFormat="1" applyFill="1" applyBorder="1"/>
    <xf numFmtId="47" fontId="1" fillId="4" borderId="5" xfId="0" applyNumberFormat="1" applyFont="1" applyFill="1" applyBorder="1"/>
    <xf numFmtId="1" fontId="1" fillId="4" borderId="12" xfId="0" applyNumberFormat="1" applyFont="1" applyFill="1" applyBorder="1"/>
    <xf numFmtId="47" fontId="5" fillId="4" borderId="5" xfId="0" applyNumberFormat="1" applyFont="1" applyFill="1" applyBorder="1"/>
    <xf numFmtId="0" fontId="1" fillId="4" borderId="5" xfId="0" applyFont="1" applyFill="1" applyBorder="1"/>
    <xf numFmtId="164" fontId="1" fillId="4" borderId="5" xfId="0" applyNumberFormat="1" applyFont="1" applyFill="1" applyBorder="1"/>
    <xf numFmtId="0" fontId="0" fillId="5" borderId="0" xfId="0" applyFill="1"/>
    <xf numFmtId="47" fontId="1" fillId="0" borderId="38" xfId="0" applyNumberFormat="1" applyFont="1" applyBorder="1"/>
    <xf numFmtId="0" fontId="2" fillId="0" borderId="39" xfId="0" applyFont="1" applyBorder="1"/>
    <xf numFmtId="164" fontId="2" fillId="2" borderId="5" xfId="0" applyNumberFormat="1" applyFont="1" applyFill="1" applyBorder="1"/>
    <xf numFmtId="164" fontId="2" fillId="0" borderId="5" xfId="0" applyNumberFormat="1" applyFont="1" applyBorder="1"/>
    <xf numFmtId="164" fontId="2" fillId="5" borderId="5" xfId="0" applyNumberFormat="1" applyFont="1" applyFill="1" applyBorder="1"/>
    <xf numFmtId="165" fontId="1" fillId="0" borderId="12" xfId="0" applyNumberFormat="1" applyFont="1" applyBorder="1"/>
    <xf numFmtId="164" fontId="2" fillId="0" borderId="22" xfId="0" applyNumberFormat="1" applyFont="1" applyBorder="1"/>
    <xf numFmtId="164" fontId="1" fillId="4" borderId="40" xfId="0" applyNumberFormat="1" applyFont="1" applyFill="1" applyBorder="1"/>
    <xf numFmtId="164" fontId="1" fillId="2" borderId="44" xfId="0" applyNumberFormat="1" applyFont="1" applyFill="1" applyBorder="1"/>
    <xf numFmtId="164" fontId="1" fillId="0" borderId="40" xfId="0" applyNumberFormat="1" applyFont="1" applyBorder="1"/>
    <xf numFmtId="164" fontId="6" fillId="2" borderId="39" xfId="0" applyNumberFormat="1" applyFont="1" applyFill="1" applyBorder="1"/>
    <xf numFmtId="164" fontId="6" fillId="0" borderId="43" xfId="0" applyNumberFormat="1" applyFont="1" applyBorder="1"/>
    <xf numFmtId="2" fontId="5" fillId="0" borderId="2" xfId="0" applyNumberFormat="1" applyFont="1" applyBorder="1"/>
    <xf numFmtId="0" fontId="5" fillId="0" borderId="2" xfId="0" applyFont="1" applyBorder="1"/>
    <xf numFmtId="47" fontId="5" fillId="0" borderId="2" xfId="0" applyNumberFormat="1" applyFont="1" applyBorder="1"/>
    <xf numFmtId="0" fontId="6" fillId="0" borderId="5" xfId="0" applyFont="1" applyBorder="1" applyAlignment="1">
      <alignment horizontal="right"/>
    </xf>
    <xf numFmtId="0" fontId="5" fillId="0" borderId="5" xfId="0" applyFont="1" applyBorder="1"/>
    <xf numFmtId="0" fontId="5" fillId="0" borderId="5" xfId="0" applyFont="1" applyBorder="1" applyAlignment="1">
      <alignment horizontal="right"/>
    </xf>
    <xf numFmtId="0" fontId="5" fillId="0" borderId="3" xfId="0" applyFont="1" applyBorder="1"/>
    <xf numFmtId="1" fontId="5" fillId="0" borderId="2" xfId="0" applyNumberFormat="1" applyFont="1" applyBorder="1"/>
    <xf numFmtId="0" fontId="5" fillId="0" borderId="4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5" fillId="2" borderId="5" xfId="0" applyFont="1" applyFill="1" applyBorder="1"/>
    <xf numFmtId="164" fontId="2" fillId="2" borderId="43" xfId="0" applyNumberFormat="1" applyFont="1" applyFill="1" applyBorder="1"/>
    <xf numFmtId="47" fontId="2" fillId="0" borderId="43" xfId="0" applyNumberFormat="1" applyFont="1" applyBorder="1"/>
    <xf numFmtId="47" fontId="2" fillId="0" borderId="46" xfId="0" applyNumberFormat="1" applyFont="1" applyBorder="1"/>
    <xf numFmtId="47" fontId="1" fillId="2" borderId="47" xfId="0" applyNumberFormat="1" applyFont="1" applyFill="1" applyBorder="1"/>
    <xf numFmtId="47" fontId="2" fillId="2" borderId="39" xfId="0" applyNumberFormat="1" applyFont="1" applyFill="1" applyBorder="1"/>
    <xf numFmtId="47" fontId="2" fillId="2" borderId="46" xfId="0" applyNumberFormat="1" applyFont="1" applyFill="1" applyBorder="1"/>
    <xf numFmtId="0" fontId="1" fillId="0" borderId="12" xfId="0" applyFont="1" applyBorder="1"/>
    <xf numFmtId="47" fontId="1" fillId="2" borderId="48" xfId="0" applyNumberFormat="1" applyFont="1" applyFill="1" applyBorder="1"/>
    <xf numFmtId="47" fontId="2" fillId="0" borderId="38" xfId="0" applyNumberFormat="1" applyFont="1" applyBorder="1"/>
    <xf numFmtId="47" fontId="2" fillId="0" borderId="35" xfId="0" applyNumberFormat="1" applyFont="1" applyBorder="1"/>
    <xf numFmtId="47" fontId="2" fillId="2" borderId="38" xfId="0" applyNumberFormat="1" applyFont="1" applyFill="1" applyBorder="1"/>
    <xf numFmtId="47" fontId="2" fillId="2" borderId="35" xfId="0" applyNumberFormat="1" applyFont="1" applyFill="1" applyBorder="1"/>
    <xf numFmtId="0" fontId="1" fillId="0" borderId="5" xfId="0" applyFont="1" applyBorder="1"/>
    <xf numFmtId="47" fontId="1" fillId="0" borderId="35" xfId="0" applyNumberFormat="1" applyFont="1" applyBorder="1"/>
    <xf numFmtId="0" fontId="1" fillId="0" borderId="38" xfId="0" applyFont="1" applyBorder="1"/>
    <xf numFmtId="0" fontId="1" fillId="0" borderId="40" xfId="0" applyFont="1" applyBorder="1"/>
    <xf numFmtId="0" fontId="1" fillId="2" borderId="40" xfId="0" applyFont="1" applyFill="1" applyBorder="1"/>
    <xf numFmtId="47" fontId="1" fillId="0" borderId="41" xfId="0" applyNumberFormat="1" applyFont="1" applyBorder="1"/>
    <xf numFmtId="47" fontId="1" fillId="2" borderId="41" xfId="0" applyNumberFormat="1" applyFont="1" applyFill="1" applyBorder="1"/>
    <xf numFmtId="47" fontId="1" fillId="2" borderId="45" xfId="0" applyNumberFormat="1" applyFont="1" applyFill="1" applyBorder="1"/>
    <xf numFmtId="47" fontId="5" fillId="2" borderId="44" xfId="0" applyNumberFormat="1" applyFont="1" applyFill="1" applyBorder="1"/>
    <xf numFmtId="47" fontId="5" fillId="0" borderId="40" xfId="0" applyNumberFormat="1" applyFont="1" applyBorder="1"/>
    <xf numFmtId="47" fontId="5" fillId="2" borderId="40" xfId="0" applyNumberFormat="1" applyFont="1" applyFill="1" applyBorder="1"/>
    <xf numFmtId="47" fontId="5" fillId="5" borderId="40" xfId="0" applyNumberFormat="1" applyFont="1" applyFill="1" applyBorder="1"/>
    <xf numFmtId="47" fontId="5" fillId="0" borderId="41" xfId="0" applyNumberFormat="1" applyFont="1" applyBorder="1"/>
    <xf numFmtId="0" fontId="0" fillId="0" borderId="25" xfId="0" applyBorder="1"/>
    <xf numFmtId="0" fontId="0" fillId="2" borderId="25" xfId="0" applyFill="1" applyBorder="1"/>
    <xf numFmtId="1" fontId="2" fillId="2" borderId="26" xfId="0" applyNumberFormat="1" applyFont="1" applyFill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2" fillId="0" borderId="49" xfId="0" applyNumberFormat="1" applyFont="1" applyBorder="1" applyAlignment="1">
      <alignment horizontal="center"/>
    </xf>
    <xf numFmtId="164" fontId="2" fillId="0" borderId="43" xfId="0" applyNumberFormat="1" applyFont="1" applyBorder="1"/>
    <xf numFmtId="164" fontId="2" fillId="0" borderId="39" xfId="0" applyNumberFormat="1" applyFont="1" applyBorder="1"/>
    <xf numFmtId="0" fontId="5" fillId="2" borderId="25" xfId="0" applyFont="1" applyFill="1" applyBorder="1"/>
    <xf numFmtId="0" fontId="1" fillId="4" borderId="25" xfId="0" applyFont="1" applyFill="1" applyBorder="1"/>
    <xf numFmtId="1" fontId="2" fillId="4" borderId="26" xfId="0" applyNumberFormat="1" applyFont="1" applyFill="1" applyBorder="1" applyAlignment="1">
      <alignment horizontal="center"/>
    </xf>
    <xf numFmtId="0" fontId="1" fillId="0" borderId="51" xfId="0" applyFont="1" applyBorder="1"/>
    <xf numFmtId="1" fontId="2" fillId="0" borderId="52" xfId="0" applyNumberFormat="1" applyFont="1" applyBorder="1" applyAlignment="1">
      <alignment horizontal="center"/>
    </xf>
    <xf numFmtId="164" fontId="2" fillId="2" borderId="42" xfId="0" applyNumberFormat="1" applyFont="1" applyFill="1" applyBorder="1" applyAlignment="1">
      <alignment horizontal="center"/>
    </xf>
    <xf numFmtId="164" fontId="2" fillId="0" borderId="42" xfId="0" applyNumberFormat="1" applyFont="1" applyBorder="1" applyAlignment="1">
      <alignment horizontal="center"/>
    </xf>
    <xf numFmtId="164" fontId="2" fillId="0" borderId="50" xfId="0" applyNumberFormat="1" applyFont="1" applyBorder="1" applyAlignment="1">
      <alignment horizontal="center"/>
    </xf>
    <xf numFmtId="0" fontId="1" fillId="0" borderId="53" xfId="0" applyFont="1" applyBorder="1"/>
    <xf numFmtId="1" fontId="2" fillId="0" borderId="5" xfId="0" applyNumberFormat="1" applyFont="1" applyBorder="1" applyAlignment="1">
      <alignment horizontal="center"/>
    </xf>
    <xf numFmtId="1" fontId="2" fillId="5" borderId="5" xfId="0" applyNumberFormat="1" applyFont="1" applyFill="1" applyBorder="1" applyAlignment="1">
      <alignment horizontal="center"/>
    </xf>
    <xf numFmtId="47" fontId="1" fillId="5" borderId="12" xfId="0" applyNumberFormat="1" applyFont="1" applyFill="1" applyBorder="1"/>
    <xf numFmtId="164" fontId="2" fillId="5" borderId="22" xfId="0" applyNumberFormat="1" applyFont="1" applyFill="1" applyBorder="1"/>
    <xf numFmtId="47" fontId="0" fillId="5" borderId="5" xfId="0" applyNumberFormat="1" applyFill="1" applyBorder="1"/>
    <xf numFmtId="47" fontId="1" fillId="5" borderId="5" xfId="0" applyNumberFormat="1" applyFont="1" applyFill="1" applyBorder="1"/>
    <xf numFmtId="1" fontId="1" fillId="5" borderId="12" xfId="0" applyNumberFormat="1" applyFont="1" applyFill="1" applyBorder="1"/>
    <xf numFmtId="164" fontId="1" fillId="5" borderId="12" xfId="0" applyNumberFormat="1" applyFont="1" applyFill="1" applyBorder="1"/>
    <xf numFmtId="0" fontId="1" fillId="5" borderId="5" xfId="0" applyFont="1" applyFill="1" applyBorder="1"/>
    <xf numFmtId="0" fontId="0" fillId="5" borderId="15" xfId="0" applyFill="1" applyBorder="1"/>
    <xf numFmtId="1" fontId="2" fillId="5" borderId="23" xfId="0" applyNumberFormat="1" applyFont="1" applyFill="1" applyBorder="1" applyAlignment="1">
      <alignment horizontal="center"/>
    </xf>
    <xf numFmtId="164" fontId="1" fillId="5" borderId="5" xfId="0" applyNumberFormat="1" applyFont="1" applyFill="1" applyBorder="1"/>
    <xf numFmtId="47" fontId="5" fillId="4" borderId="12" xfId="0" applyNumberFormat="1" applyFont="1" applyFill="1" applyBorder="1"/>
    <xf numFmtId="164" fontId="2" fillId="4" borderId="22" xfId="0" applyNumberFormat="1" applyFont="1" applyFill="1" applyBorder="1"/>
    <xf numFmtId="164" fontId="1" fillId="4" borderId="12" xfId="0" applyNumberFormat="1" applyFont="1" applyFill="1" applyBorder="1"/>
    <xf numFmtId="47" fontId="5" fillId="4" borderId="40" xfId="0" applyNumberFormat="1" applyFont="1" applyFill="1" applyBorder="1"/>
    <xf numFmtId="0" fontId="0" fillId="4" borderId="15" xfId="0" applyFill="1" applyBorder="1"/>
    <xf numFmtId="1" fontId="2" fillId="4" borderId="23" xfId="0" applyNumberFormat="1" applyFont="1" applyFill="1" applyBorder="1" applyAlignment="1">
      <alignment horizontal="center"/>
    </xf>
    <xf numFmtId="1" fontId="2" fillId="4" borderId="5" xfId="0" applyNumberFormat="1" applyFont="1" applyFill="1" applyBorder="1" applyAlignment="1">
      <alignment horizontal="center"/>
    </xf>
    <xf numFmtId="1" fontId="2" fillId="6" borderId="5" xfId="0" applyNumberFormat="1" applyFont="1" applyFill="1" applyBorder="1" applyAlignment="1">
      <alignment horizontal="center"/>
    </xf>
    <xf numFmtId="164" fontId="1" fillId="0" borderId="5" xfId="0" applyNumberFormat="1" applyFont="1" applyBorder="1"/>
    <xf numFmtId="47" fontId="1" fillId="0" borderId="5" xfId="0" applyNumberFormat="1" applyFont="1" applyBorder="1"/>
    <xf numFmtId="2" fontId="1" fillId="0" borderId="35" xfId="0" applyNumberFormat="1" applyFont="1" applyBorder="1"/>
    <xf numFmtId="164" fontId="2" fillId="4" borderId="43" xfId="0" applyNumberFormat="1" applyFont="1" applyFill="1" applyBorder="1"/>
    <xf numFmtId="164" fontId="2" fillId="5" borderId="43" xfId="0" applyNumberFormat="1" applyFont="1" applyFill="1" applyBorder="1"/>
    <xf numFmtId="47" fontId="5" fillId="0" borderId="38" xfId="0" applyNumberFormat="1" applyFont="1" applyBorder="1"/>
    <xf numFmtId="47" fontId="0" fillId="0" borderId="5" xfId="0" applyNumberFormat="1" applyBorder="1"/>
    <xf numFmtId="0" fontId="0" fillId="0" borderId="5" xfId="0" applyBorder="1"/>
    <xf numFmtId="0" fontId="2" fillId="2" borderId="43" xfId="0" applyFont="1" applyFill="1" applyBorder="1"/>
    <xf numFmtId="0" fontId="2" fillId="0" borderId="54" xfId="0" applyFont="1" applyBorder="1"/>
    <xf numFmtId="0" fontId="2" fillId="0" borderId="43" xfId="0" applyFont="1" applyBorder="1"/>
    <xf numFmtId="47" fontId="1" fillId="0" borderId="43" xfId="0" applyNumberFormat="1" applyFont="1" applyBorder="1"/>
    <xf numFmtId="0" fontId="2" fillId="2" borderId="55" xfId="0" applyFont="1" applyFill="1" applyBorder="1"/>
    <xf numFmtId="0" fontId="1" fillId="2" borderId="55" xfId="0" applyFont="1" applyFill="1" applyBorder="1"/>
    <xf numFmtId="164" fontId="2" fillId="2" borderId="39" xfId="0" applyNumberFormat="1" applyFont="1" applyFill="1" applyBorder="1"/>
    <xf numFmtId="47" fontId="1" fillId="2" borderId="39" xfId="0" applyNumberFormat="1" applyFont="1" applyFill="1" applyBorder="1"/>
    <xf numFmtId="0" fontId="2" fillId="2" borderId="39" xfId="0" applyFont="1" applyFill="1" applyBorder="1"/>
    <xf numFmtId="0" fontId="2" fillId="0" borderId="46" xfId="0" applyFont="1" applyBorder="1"/>
    <xf numFmtId="0" fontId="5" fillId="0" borderId="43" xfId="0" applyFont="1" applyBorder="1"/>
    <xf numFmtId="0" fontId="2" fillId="0" borderId="43" xfId="0" applyFont="1" applyBorder="1" applyAlignment="1">
      <alignment horizontal="right"/>
    </xf>
    <xf numFmtId="47" fontId="1" fillId="2" borderId="43" xfId="0" applyNumberFormat="1" applyFont="1" applyFill="1" applyBorder="1"/>
    <xf numFmtId="0" fontId="1" fillId="0" borderId="39" xfId="0" applyFont="1" applyBorder="1"/>
    <xf numFmtId="0" fontId="1" fillId="2" borderId="39" xfId="0" applyFont="1" applyFill="1" applyBorder="1"/>
    <xf numFmtId="0" fontId="5" fillId="2" borderId="5" xfId="0" applyFont="1" applyFill="1" applyBorder="1" applyAlignment="1">
      <alignment wrapText="1"/>
    </xf>
    <xf numFmtId="0" fontId="5" fillId="2" borderId="55" xfId="0" applyFont="1" applyFill="1" applyBorder="1"/>
    <xf numFmtId="0" fontId="0" fillId="5" borderId="4" xfId="0" applyFill="1" applyBorder="1"/>
    <xf numFmtId="0" fontId="0" fillId="4" borderId="12" xfId="0" applyFill="1" applyBorder="1"/>
    <xf numFmtId="0" fontId="0" fillId="0" borderId="12" xfId="0" applyBorder="1"/>
    <xf numFmtId="1" fontId="2" fillId="0" borderId="23" xfId="0" applyNumberFormat="1" applyFont="1" applyBorder="1" applyAlignment="1">
      <alignment horizontal="center"/>
    </xf>
    <xf numFmtId="0" fontId="0" fillId="0" borderId="15" xfId="0" applyBorder="1"/>
    <xf numFmtId="164" fontId="2" fillId="0" borderId="16" xfId="0" applyNumberFormat="1" applyFont="1" applyBorder="1" applyAlignment="1">
      <alignment horizontal="center"/>
    </xf>
    <xf numFmtId="0" fontId="5" fillId="2" borderId="27" xfId="0" applyFont="1" applyFill="1" applyBorder="1"/>
    <xf numFmtId="47" fontId="5" fillId="2" borderId="14" xfId="0" applyNumberFormat="1" applyFont="1" applyFill="1" applyBorder="1"/>
    <xf numFmtId="0" fontId="0" fillId="5" borderId="19" xfId="0" applyFill="1" applyBorder="1"/>
    <xf numFmtId="47" fontId="5" fillId="0" borderId="5" xfId="0" applyNumberFormat="1" applyFont="1" applyBorder="1"/>
    <xf numFmtId="1" fontId="2" fillId="5" borderId="26" xfId="0" applyNumberFormat="1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1" fillId="5" borderId="0" xfId="0" applyFont="1" applyFill="1"/>
    <xf numFmtId="164" fontId="1" fillId="5" borderId="0" xfId="0" applyNumberFormat="1" applyFont="1" applyFill="1"/>
    <xf numFmtId="0" fontId="2" fillId="0" borderId="22" xfId="0" applyFont="1" applyBorder="1" applyAlignment="1">
      <alignment horizontal="right"/>
    </xf>
    <xf numFmtId="164" fontId="1" fillId="2" borderId="43" xfId="0" applyNumberFormat="1" applyFont="1" applyFill="1" applyBorder="1"/>
    <xf numFmtId="0" fontId="6" fillId="2" borderId="5" xfId="0" applyFont="1" applyFill="1" applyBorder="1"/>
    <xf numFmtId="0" fontId="2" fillId="0" borderId="22" xfId="0" applyFont="1" applyBorder="1"/>
    <xf numFmtId="47" fontId="5" fillId="2" borderId="5" xfId="0" applyNumberFormat="1" applyFont="1" applyFill="1" applyBorder="1"/>
    <xf numFmtId="0" fontId="5" fillId="2" borderId="13" xfId="0" applyFont="1" applyFill="1" applyBorder="1"/>
    <xf numFmtId="164" fontId="6" fillId="2" borderId="43" xfId="0" applyNumberFormat="1" applyFont="1" applyFill="1" applyBorder="1"/>
    <xf numFmtId="0" fontId="1" fillId="5" borderId="2" xfId="0" applyFont="1" applyFill="1" applyBorder="1"/>
    <xf numFmtId="0" fontId="0" fillId="0" borderId="5" xfId="0" applyFill="1" applyBorder="1"/>
    <xf numFmtId="0" fontId="1" fillId="0" borderId="56" xfId="0" applyFont="1" applyBorder="1" applyAlignment="1">
      <alignment horizontal="right"/>
    </xf>
    <xf numFmtId="47" fontId="1" fillId="0" borderId="0" xfId="0" applyNumberFormat="1" applyFont="1" applyAlignment="1">
      <alignment horizontal="right"/>
    </xf>
    <xf numFmtId="164" fontId="2" fillId="0" borderId="4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105"/>
  <sheetViews>
    <sheetView showGridLines="0" tabSelected="1" zoomScale="156" zoomScaleNormal="50" workbookViewId="0">
      <pane xSplit="1" ySplit="2" topLeftCell="AF3" activePane="bottomRight" state="frozen"/>
      <selection activeCell="AD72" sqref="AD72"/>
      <selection pane="topRight" activeCell="AD72" sqref="AD72"/>
      <selection pane="bottomLeft" activeCell="AD72" sqref="AD72"/>
      <selection pane="bottomRight" activeCell="AR32" sqref="AR32"/>
    </sheetView>
  </sheetViews>
  <sheetFormatPr baseColWidth="10" defaultColWidth="12.6640625" defaultRowHeight="15" customHeight="1"/>
  <cols>
    <col min="1" max="1" width="21.83203125" customWidth="1"/>
    <col min="2" max="2" width="8.83203125" customWidth="1"/>
    <col min="3" max="3" width="7.83203125" customWidth="1"/>
    <col min="4" max="4" width="9.1640625" customWidth="1"/>
    <col min="5" max="5" width="7.83203125" customWidth="1"/>
    <col min="6" max="6" width="9.1640625" customWidth="1"/>
    <col min="7" max="7" width="7.6640625" customWidth="1"/>
    <col min="8" max="8" width="9.1640625" customWidth="1"/>
    <col min="9" max="9" width="7" customWidth="1"/>
    <col min="10" max="10" width="9.33203125" customWidth="1"/>
    <col min="11" max="13" width="7.83203125" customWidth="1"/>
    <col min="14" max="14" width="9.33203125" customWidth="1"/>
    <col min="15" max="15" width="8.6640625" customWidth="1"/>
    <col min="16" max="16" width="6.1640625" customWidth="1"/>
    <col min="17" max="17" width="7.83203125" customWidth="1"/>
    <col min="18" max="18" width="9.33203125" customWidth="1"/>
    <col min="19" max="19" width="7.83203125" customWidth="1"/>
    <col min="20" max="20" width="9.83203125" customWidth="1"/>
    <col min="21" max="21" width="8.83203125" customWidth="1"/>
    <col min="22" max="22" width="9" customWidth="1"/>
    <col min="23" max="23" width="9.83203125" customWidth="1"/>
    <col min="24" max="24" width="13.33203125" customWidth="1"/>
    <col min="25" max="25" width="7.83203125" customWidth="1"/>
    <col min="26" max="26" width="10" customWidth="1"/>
    <col min="27" max="27" width="7.83203125" style="236" customWidth="1"/>
    <col min="28" max="28" width="8.6640625" style="236" customWidth="1"/>
    <col min="29" max="29" width="7.83203125" customWidth="1"/>
    <col min="30" max="30" width="13" customWidth="1"/>
    <col min="31" max="31" width="7.83203125" customWidth="1"/>
    <col min="32" max="32" width="8.1640625" customWidth="1"/>
    <col min="33" max="33" width="7.83203125" customWidth="1"/>
    <col min="34" max="34" width="8.1640625" customWidth="1"/>
    <col min="35" max="35" width="7.83203125" customWidth="1"/>
    <col min="36" max="36" width="8.6640625" customWidth="1"/>
    <col min="37" max="37" width="7.83203125" customWidth="1"/>
    <col min="38" max="38" width="8.6640625" customWidth="1"/>
    <col min="39" max="39" width="7.83203125" customWidth="1"/>
    <col min="40" max="40" width="10.33203125" customWidth="1"/>
    <col min="41" max="41" width="9" customWidth="1"/>
    <col min="42" max="42" width="8.6640625" customWidth="1"/>
    <col min="43" max="43" width="21.83203125" customWidth="1"/>
    <col min="44" max="44" width="9.83203125" customWidth="1"/>
    <col min="45" max="45" width="16.1640625" customWidth="1"/>
    <col min="46" max="46" width="8.83203125" customWidth="1"/>
    <col min="47" max="47" width="13.1640625" customWidth="1"/>
    <col min="48" max="48" width="8.83203125" customWidth="1"/>
    <col min="49" max="49" width="18.33203125" customWidth="1"/>
    <col min="50" max="50" width="10.83203125" customWidth="1"/>
    <col min="51" max="51" width="16" customWidth="1"/>
    <col min="52" max="257" width="10.83203125" customWidth="1"/>
  </cols>
  <sheetData>
    <row r="1" spans="1:255" ht="12" customHeight="1" thickBot="1">
      <c r="A1" s="131" t="s">
        <v>33</v>
      </c>
      <c r="B1" s="155" t="s">
        <v>0</v>
      </c>
      <c r="C1" s="160"/>
      <c r="D1" s="155" t="s">
        <v>1</v>
      </c>
      <c r="E1" s="160"/>
      <c r="F1" s="155" t="s">
        <v>32</v>
      </c>
      <c r="G1" s="160"/>
      <c r="H1" s="155" t="s">
        <v>2</v>
      </c>
      <c r="I1" s="160"/>
      <c r="J1" s="155" t="s">
        <v>3</v>
      </c>
      <c r="K1" s="160"/>
      <c r="L1" s="154" t="s">
        <v>11</v>
      </c>
      <c r="M1" s="160"/>
      <c r="N1" s="154" t="s">
        <v>4</v>
      </c>
      <c r="O1" s="160"/>
      <c r="P1" s="155" t="s">
        <v>5</v>
      </c>
      <c r="Q1" s="160"/>
      <c r="R1" s="156" t="s">
        <v>6</v>
      </c>
      <c r="S1" s="160"/>
      <c r="T1" s="155" t="s">
        <v>7</v>
      </c>
      <c r="U1" s="160"/>
      <c r="V1" s="155" t="s">
        <v>8</v>
      </c>
      <c r="W1" s="160"/>
      <c r="X1" s="161" t="s">
        <v>9</v>
      </c>
      <c r="Y1" s="160"/>
      <c r="Z1" s="156" t="s">
        <v>39</v>
      </c>
      <c r="AA1" s="247"/>
      <c r="AB1" s="234" t="s">
        <v>10</v>
      </c>
      <c r="AC1" s="160"/>
      <c r="AD1" s="156" t="s">
        <v>12</v>
      </c>
      <c r="AE1" s="160"/>
      <c r="AF1" s="156" t="s">
        <v>48</v>
      </c>
      <c r="AG1" s="160"/>
      <c r="AH1" s="156" t="s">
        <v>13</v>
      </c>
      <c r="AI1" s="160"/>
      <c r="AJ1" s="155" t="s">
        <v>14</v>
      </c>
      <c r="AK1" s="160"/>
      <c r="AL1" s="158" t="s">
        <v>49</v>
      </c>
      <c r="AM1" s="158"/>
      <c r="AN1" s="162"/>
      <c r="AO1" s="163"/>
      <c r="AP1" s="163"/>
      <c r="AQ1" s="163"/>
      <c r="AR1" s="164"/>
      <c r="AS1" s="163"/>
      <c r="AT1" s="165"/>
      <c r="AU1" s="166"/>
      <c r="AV1" s="166"/>
      <c r="AW1" s="166"/>
      <c r="AX1" s="166"/>
      <c r="AY1" s="166"/>
      <c r="AZ1" s="166"/>
      <c r="BA1" s="166"/>
      <c r="BB1" s="166"/>
      <c r="BC1" s="166"/>
      <c r="BD1" s="166"/>
      <c r="BE1" s="166"/>
      <c r="BF1" s="166"/>
      <c r="BG1" s="166"/>
      <c r="BH1" s="166"/>
      <c r="BI1" s="166"/>
      <c r="BJ1" s="166"/>
      <c r="BK1" s="166"/>
      <c r="BL1" s="166"/>
      <c r="BM1" s="166"/>
      <c r="BN1" s="166"/>
      <c r="BO1" s="166"/>
      <c r="BP1" s="166"/>
      <c r="BQ1" s="166"/>
      <c r="BR1" s="166"/>
      <c r="BS1" s="166"/>
      <c r="BT1" s="166"/>
      <c r="BU1" s="166"/>
      <c r="BV1" s="166"/>
      <c r="BW1" s="166"/>
      <c r="BX1" s="166"/>
      <c r="BY1" s="166"/>
      <c r="BZ1" s="166"/>
      <c r="CA1" s="166"/>
      <c r="CB1" s="166"/>
      <c r="CC1" s="166"/>
      <c r="CD1" s="166"/>
      <c r="CE1" s="166"/>
      <c r="CF1" s="166"/>
      <c r="CG1" s="166"/>
      <c r="CH1" s="166"/>
      <c r="CI1" s="166"/>
      <c r="CJ1" s="166"/>
      <c r="CK1" s="166"/>
      <c r="CL1" s="166"/>
      <c r="CM1" s="166"/>
      <c r="CN1" s="166"/>
      <c r="CO1" s="166"/>
      <c r="CP1" s="166"/>
      <c r="CQ1" s="166"/>
      <c r="CR1" s="166"/>
      <c r="CS1" s="166"/>
      <c r="CT1" s="166"/>
      <c r="CU1" s="166"/>
      <c r="CV1" s="166"/>
      <c r="CW1" s="166"/>
      <c r="CX1" s="166"/>
      <c r="CY1" s="166"/>
      <c r="CZ1" s="166"/>
      <c r="DA1" s="166"/>
      <c r="DB1" s="166"/>
      <c r="DC1" s="166"/>
      <c r="DD1" s="166"/>
      <c r="DE1" s="166"/>
      <c r="DF1" s="166"/>
      <c r="DG1" s="166"/>
      <c r="DH1" s="166"/>
      <c r="DI1" s="166"/>
      <c r="DJ1" s="166"/>
      <c r="DK1" s="166"/>
      <c r="DL1" s="166"/>
      <c r="DM1" s="166"/>
      <c r="DN1" s="166"/>
      <c r="DO1" s="166"/>
      <c r="DP1" s="166"/>
      <c r="DQ1" s="166"/>
      <c r="DR1" s="166"/>
      <c r="DS1" s="166"/>
      <c r="DT1" s="166"/>
      <c r="DU1" s="166"/>
      <c r="DV1" s="166"/>
      <c r="DW1" s="166"/>
      <c r="DX1" s="166"/>
      <c r="DY1" s="166"/>
      <c r="DZ1" s="166"/>
      <c r="EA1" s="166"/>
      <c r="EB1" s="166"/>
      <c r="EC1" s="166"/>
      <c r="ED1" s="166"/>
      <c r="EE1" s="166"/>
      <c r="EF1" s="166"/>
      <c r="EG1" s="166"/>
      <c r="EH1" s="166"/>
      <c r="EI1" s="166"/>
      <c r="EJ1" s="166"/>
      <c r="EK1" s="166"/>
      <c r="EL1" s="166"/>
      <c r="EM1" s="166"/>
      <c r="EN1" s="166"/>
      <c r="EO1" s="166"/>
      <c r="EP1" s="166"/>
      <c r="EQ1" s="166"/>
      <c r="ER1" s="166"/>
      <c r="ES1" s="166"/>
      <c r="ET1" s="166"/>
      <c r="EU1" s="166"/>
      <c r="EV1" s="166"/>
      <c r="EW1" s="166"/>
    </row>
    <row r="2" spans="1:255" ht="12" customHeight="1" thickTop="1" thickBot="1">
      <c r="A2" s="10" t="s">
        <v>15</v>
      </c>
      <c r="B2" s="11" t="s">
        <v>16</v>
      </c>
      <c r="C2" s="12" t="s">
        <v>17</v>
      </c>
      <c r="D2" s="11" t="s">
        <v>16</v>
      </c>
      <c r="E2" s="12" t="s">
        <v>17</v>
      </c>
      <c r="F2" s="11" t="s">
        <v>16</v>
      </c>
      <c r="G2" s="12" t="s">
        <v>17</v>
      </c>
      <c r="H2" s="11" t="s">
        <v>16</v>
      </c>
      <c r="I2" s="12" t="s">
        <v>17</v>
      </c>
      <c r="J2" s="11" t="s">
        <v>16</v>
      </c>
      <c r="K2" s="12" t="s">
        <v>17</v>
      </c>
      <c r="L2" s="13" t="s">
        <v>16</v>
      </c>
      <c r="M2" s="12" t="s">
        <v>17</v>
      </c>
      <c r="N2" s="231" t="s">
        <v>16</v>
      </c>
      <c r="O2" s="12" t="s">
        <v>17</v>
      </c>
      <c r="P2" s="11" t="s">
        <v>18</v>
      </c>
      <c r="Q2" s="12" t="s">
        <v>17</v>
      </c>
      <c r="R2" s="14" t="s">
        <v>16</v>
      </c>
      <c r="S2" s="12" t="s">
        <v>17</v>
      </c>
      <c r="T2" s="11" t="s">
        <v>16</v>
      </c>
      <c r="U2" s="268" t="s">
        <v>17</v>
      </c>
      <c r="V2" s="11" t="s">
        <v>16</v>
      </c>
      <c r="W2" s="12" t="s">
        <v>17</v>
      </c>
      <c r="X2" s="15" t="s">
        <v>19</v>
      </c>
      <c r="Y2" s="12" t="s">
        <v>17</v>
      </c>
      <c r="Z2" s="14" t="s">
        <v>16</v>
      </c>
      <c r="AA2" s="248" t="s">
        <v>17</v>
      </c>
      <c r="AB2" s="180" t="s">
        <v>16</v>
      </c>
      <c r="AC2" s="12" t="s">
        <v>17</v>
      </c>
      <c r="AD2" s="14" t="s">
        <v>16</v>
      </c>
      <c r="AE2" s="12" t="s">
        <v>17</v>
      </c>
      <c r="AF2" s="14" t="s">
        <v>16</v>
      </c>
      <c r="AG2" s="12" t="s">
        <v>17</v>
      </c>
      <c r="AH2" s="14" t="s">
        <v>16</v>
      </c>
      <c r="AI2" s="12" t="s">
        <v>17</v>
      </c>
      <c r="AJ2" s="11" t="s">
        <v>16</v>
      </c>
      <c r="AK2" s="12" t="s">
        <v>17</v>
      </c>
      <c r="AL2" s="159" t="s">
        <v>16</v>
      </c>
      <c r="AM2" s="157" t="s">
        <v>17</v>
      </c>
      <c r="AN2" s="6"/>
      <c r="AO2" s="16" t="s">
        <v>20</v>
      </c>
      <c r="AP2" s="17" t="s">
        <v>21</v>
      </c>
      <c r="AQ2" s="18" t="s">
        <v>22</v>
      </c>
      <c r="AR2" s="19" t="s">
        <v>23</v>
      </c>
      <c r="AS2" s="20" t="s">
        <v>24</v>
      </c>
      <c r="AT2" s="21" t="s">
        <v>17</v>
      </c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</row>
    <row r="3" spans="1:255" ht="12" customHeight="1" thickTop="1">
      <c r="A3" s="22" t="s">
        <v>42</v>
      </c>
      <c r="B3" s="23">
        <v>3.5590277777777777E-3</v>
      </c>
      <c r="C3" s="24">
        <f t="shared" ref="C3:C18" si="0">IF(B3="DNF","DNF",IF(B3&gt;0,B$29/B3*100,""))</f>
        <v>100</v>
      </c>
      <c r="D3" s="23">
        <v>3.6898148148148146E-3</v>
      </c>
      <c r="E3" s="24">
        <f t="shared" ref="E3:E18" si="1">IF(D3="DNF","DNF",IF(D3&gt;0,D$29/D3*100,""))</f>
        <v>79.673776662484315</v>
      </c>
      <c r="F3" s="23">
        <v>3.0237268518518521E-3</v>
      </c>
      <c r="G3" s="24">
        <f t="shared" ref="G3:G18" si="2">IF(F3="DNF","DNF",IF(F3&gt;0,F$29/F3*100,""))</f>
        <v>85.420095693779899</v>
      </c>
      <c r="H3" s="25">
        <v>1.7747685185185186E-3</v>
      </c>
      <c r="I3" s="24">
        <f t="shared" ref="I3:I18" si="3">IF(H3="DNF","DNF",IF(H3&gt;0,H$29/H3*100,""))</f>
        <v>87.204904134602828</v>
      </c>
      <c r="J3" s="25">
        <v>2.3172453703703701E-3</v>
      </c>
      <c r="K3" s="24">
        <f t="shared" ref="K3:K17" si="4">IF(J3="DNF","DNF",IF(J3&gt;0,J$29/J3*100,""))</f>
        <v>42.775086159532499</v>
      </c>
      <c r="L3" s="23">
        <v>3.4097222222222224E-3</v>
      </c>
      <c r="M3" s="24">
        <f t="shared" ref="M3:M17" si="5">IF(L3="DNF","DNF",IF(L3&gt;0,L$29/L3*100,""))</f>
        <v>36.591989137813982</v>
      </c>
      <c r="N3" s="120">
        <v>3.5324074074074077E-3</v>
      </c>
      <c r="O3" s="24">
        <f t="shared" ref="O3:O18" si="6">IF(N3="DNF","DNF",IF(N3&gt;0,N$29/N3*100,""))</f>
        <v>95.969855832241151</v>
      </c>
      <c r="P3" s="26">
        <v>32</v>
      </c>
      <c r="Q3" s="24">
        <f t="shared" ref="Q3:Q18" si="7">IF(P3="DNF","DNF",IF(P3&lt;&gt;"",P3/P$29*100,""))</f>
        <v>100</v>
      </c>
      <c r="R3" s="25">
        <v>2.5636574074074071E-4</v>
      </c>
      <c r="S3" s="24">
        <f t="shared" ref="S3:S17" si="8">IF(R3="DNF","DNF",IF(R3&gt;0,R$29/R3*100,""))</f>
        <v>98.058690744921009</v>
      </c>
      <c r="T3" s="27">
        <f>Birling!B3</f>
        <v>2.5</v>
      </c>
      <c r="U3" s="269">
        <f>Birling!C3</f>
        <v>27.777777777777779</v>
      </c>
      <c r="V3" s="25">
        <v>6.7708333333333336E-4</v>
      </c>
      <c r="W3" s="24">
        <f t="shared" ref="W3:W18" si="9">IF(V3="DNF","DNF",IF(V3&gt;0,V$29/V3*100,""))</f>
        <v>88.8888888888889</v>
      </c>
      <c r="X3" s="26">
        <v>11</v>
      </c>
      <c r="Y3" s="24">
        <f t="shared" ref="Y3:Y18" si="10">IF(X3="DNF","DNF",IF(X3&lt;&gt;"",X3/X$29*100,""))</f>
        <v>50</v>
      </c>
      <c r="Z3" s="23">
        <v>9.9768518518518511E-5</v>
      </c>
      <c r="AA3" s="167">
        <f t="shared" ref="AA3:AA18" si="11">IF(Z3="DNF","DNF",IF(Z3&gt;0,Z$29/Z3*100,""))</f>
        <v>100</v>
      </c>
      <c r="AB3" s="25">
        <v>6.6458333333333343E-4</v>
      </c>
      <c r="AC3" s="24">
        <f t="shared" ref="AC3:AC18" si="12">IF(AB3="DNF","DNF",IF(AB3&gt;0,AB$29/AB3*100,""))</f>
        <v>71.10762800417973</v>
      </c>
      <c r="AD3" s="23">
        <v>6.6087962962962964E-4</v>
      </c>
      <c r="AE3" s="24">
        <f t="shared" ref="AE3:AE18" si="13">IF(AD3="DNF","DNF",IF(AD3&gt;0,AD$29/AD3*100,""))</f>
        <v>99.474605954465829</v>
      </c>
      <c r="AF3" s="25">
        <v>1.1030092592592593E-3</v>
      </c>
      <c r="AG3" s="24">
        <f t="shared" ref="AG3:AG18" si="14">IF(AF3="DNF","DNF",IF(AF3&gt;0,AF$29/AF3*100,""))</f>
        <v>81.636935991605469</v>
      </c>
      <c r="AH3" s="23">
        <v>1.7824074074074072E-3</v>
      </c>
      <c r="AI3" s="24">
        <f>IF(AH3="DNF","DNF",IF(AH3&gt;0,AH$29/AH3*100,""))</f>
        <v>63.896103896103909</v>
      </c>
      <c r="AJ3" s="23">
        <v>4.31712962962963E-3</v>
      </c>
      <c r="AK3" s="24">
        <f t="shared" ref="AK3:AK15" si="15">IF(AJ3="DNF","DNF",IF(AJ3&gt;0,AJ$29/AJ3*100,""))</f>
        <v>75.067024128686327</v>
      </c>
      <c r="AL3" s="187">
        <v>4.0740740740740746E-3</v>
      </c>
      <c r="AM3" s="24">
        <f>IF(AL3="DNF","DNF",IF(AL3&gt;0,AL$29/AL3*100,""))</f>
        <v>91.846590909090892</v>
      </c>
      <c r="AN3" s="9"/>
      <c r="AO3" s="28" t="str">
        <f>$A3</f>
        <v>Colby A</v>
      </c>
      <c r="AP3" s="29">
        <f>SUM(C3,E3,G3,I3,K3,M3,O3,Q3,S3,U3,W3,Y3,AA3,AC3,AE3,AG3,AI3,AK3,AM3)</f>
        <v>1475.389953916175</v>
      </c>
      <c r="AQ3" s="30">
        <f t="shared" ref="AQ3:AQ13" si="16">RANK(AP3,$AP$3:$AP$24,0)</f>
        <v>2</v>
      </c>
      <c r="AR3" s="31">
        <v>1</v>
      </c>
      <c r="AS3" s="9" t="str">
        <f>INDEX($AO$3:AO22,MATCH(AR3,$AQ$3:$AQ$22,0))</f>
        <v>Paul Smith's J&amp;J1</v>
      </c>
      <c r="AT3" s="32">
        <f t="shared" ref="AT3:AT14" si="17">INDEX($AP$3:$AP$22,MATCH(AS3,$AO$3:$AO$22,0))</f>
        <v>1533.4030934716659</v>
      </c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</row>
    <row r="4" spans="1:255" ht="12" customHeight="1">
      <c r="A4" s="33" t="s">
        <v>25</v>
      </c>
      <c r="B4" s="34">
        <v>6.0671296296296298E-3</v>
      </c>
      <c r="C4" s="35">
        <f t="shared" si="0"/>
        <v>58.660816482258682</v>
      </c>
      <c r="D4" s="34">
        <v>7.9942129629629634E-3</v>
      </c>
      <c r="E4" s="35">
        <f t="shared" si="1"/>
        <v>36.774286955262774</v>
      </c>
      <c r="F4" s="34">
        <v>4.1875000000000002E-3</v>
      </c>
      <c r="G4" s="35">
        <f t="shared" si="2"/>
        <v>61.680486456605855</v>
      </c>
      <c r="H4" s="36">
        <v>2.469212962962963E-3</v>
      </c>
      <c r="I4" s="35">
        <f t="shared" si="3"/>
        <v>62.679291272147744</v>
      </c>
      <c r="J4" s="36">
        <v>5.7593749999999997E-3</v>
      </c>
      <c r="K4" s="35">
        <f t="shared" si="4"/>
        <v>17.210265067020359</v>
      </c>
      <c r="L4" s="37">
        <v>3.3506944444444443E-3</v>
      </c>
      <c r="M4" s="35">
        <f t="shared" si="5"/>
        <v>37.236614853195164</v>
      </c>
      <c r="N4" s="230">
        <v>3.8564814814814816E-3</v>
      </c>
      <c r="O4" s="35">
        <f t="shared" si="6"/>
        <v>87.90516206482593</v>
      </c>
      <c r="P4" s="38">
        <v>10</v>
      </c>
      <c r="Q4" s="35">
        <f t="shared" si="7"/>
        <v>31.25</v>
      </c>
      <c r="R4" s="36">
        <v>7.0833333333333338E-4</v>
      </c>
      <c r="S4" s="35">
        <f t="shared" si="8"/>
        <v>35.490196078431367</v>
      </c>
      <c r="T4" s="39">
        <f>Birling!B4</f>
        <v>3.5</v>
      </c>
      <c r="U4" s="153">
        <f>Birling!C4</f>
        <v>38.888888888888886</v>
      </c>
      <c r="V4" s="36">
        <v>6.018518518518519E-4</v>
      </c>
      <c r="W4" s="35">
        <f t="shared" si="9"/>
        <v>100</v>
      </c>
      <c r="X4" s="38">
        <v>10</v>
      </c>
      <c r="Y4" s="35">
        <f t="shared" si="10"/>
        <v>45.454545454545453</v>
      </c>
      <c r="Z4" s="278" t="s">
        <v>66</v>
      </c>
      <c r="AA4" s="279" t="str">
        <f t="shared" si="11"/>
        <v>DNF</v>
      </c>
      <c r="AB4" s="235">
        <v>1.4889699074074074E-2</v>
      </c>
      <c r="AC4" s="35">
        <f t="shared" si="12"/>
        <v>3.173801176863821</v>
      </c>
      <c r="AD4" s="34">
        <v>1.3946759259259259E-3</v>
      </c>
      <c r="AE4" s="35">
        <f t="shared" si="13"/>
        <v>47.136929460580909</v>
      </c>
      <c r="AF4" s="36">
        <v>1.5393518518518519E-3</v>
      </c>
      <c r="AG4" s="35">
        <f t="shared" si="14"/>
        <v>58.496240601503771</v>
      </c>
      <c r="AH4" s="34">
        <v>3.7731481481481483E-3</v>
      </c>
      <c r="AI4" s="35">
        <f t="shared" ref="AI4:AI18" si="18">IF(AH4="DNF","DNF",IF(AH4&gt;0,AH$29/AH4*100,""))</f>
        <v>30.184049079754597</v>
      </c>
      <c r="AJ4" s="34">
        <v>6.2916666666666668E-3</v>
      </c>
      <c r="AK4" s="35">
        <f t="shared" si="15"/>
        <v>51.508462104488594</v>
      </c>
      <c r="AL4" s="188">
        <v>3.7418981481481483E-3</v>
      </c>
      <c r="AM4" s="35">
        <f t="shared" ref="AM4:AM18" si="19">IF(AL4="DNF","DNF",IF(AL4&gt;0,AL$29/AL4*100,""))</f>
        <v>100</v>
      </c>
      <c r="AN4" s="6"/>
      <c r="AO4" s="28" t="str">
        <f t="shared" ref="AO4:AO14" si="20">$A4</f>
        <v>Dartmouth A</v>
      </c>
      <c r="AP4" s="29">
        <f t="shared" ref="AP4:AP14" si="21">SUM(C4,E4,G4,I4,K4,M4,O4,Q4,S4,U4,W4,Y4,AA4,AC4,AE4,AG4,AI4,AK4,AM4)</f>
        <v>903.73003599637389</v>
      </c>
      <c r="AQ4" s="42">
        <f t="shared" si="16"/>
        <v>12</v>
      </c>
      <c r="AR4" s="43">
        <v>2</v>
      </c>
      <c r="AS4" s="6" t="str">
        <f>INDEX($AO$3:AO23,MATCH(AR4,$AQ$3:$AQ$22,0))</f>
        <v>Colby A</v>
      </c>
      <c r="AT4" s="8">
        <f t="shared" si="17"/>
        <v>1475.389953916175</v>
      </c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</row>
    <row r="5" spans="1:255" s="141" customFormat="1" ht="12" customHeight="1">
      <c r="A5" s="255" t="s">
        <v>52</v>
      </c>
      <c r="B5" s="221">
        <v>4.5173611111111109E-3</v>
      </c>
      <c r="C5" s="222">
        <f t="shared" si="0"/>
        <v>78.785549577248275</v>
      </c>
      <c r="D5" s="133">
        <v>3.677083333333333E-3</v>
      </c>
      <c r="E5" s="222">
        <f t="shared" si="1"/>
        <v>79.949638023292422</v>
      </c>
      <c r="F5" s="133">
        <v>2.6921296296296298E-3</v>
      </c>
      <c r="G5" s="222">
        <f t="shared" si="2"/>
        <v>95.941530524505581</v>
      </c>
      <c r="H5" s="135">
        <v>1.5476851851851851E-3</v>
      </c>
      <c r="I5" s="222">
        <f t="shared" si="3"/>
        <v>100</v>
      </c>
      <c r="J5" s="135">
        <v>1.5659722222222221E-3</v>
      </c>
      <c r="K5" s="222">
        <f t="shared" si="4"/>
        <v>63.296378418329645</v>
      </c>
      <c r="L5" s="136">
        <v>1.5370370370370371E-3</v>
      </c>
      <c r="M5" s="222">
        <f t="shared" si="5"/>
        <v>81.174698795180717</v>
      </c>
      <c r="N5" s="136">
        <v>3.3900462962962968E-3</v>
      </c>
      <c r="O5" s="222">
        <f t="shared" si="6"/>
        <v>100</v>
      </c>
      <c r="P5" s="137">
        <v>12</v>
      </c>
      <c r="Q5" s="222">
        <f t="shared" si="7"/>
        <v>37.5</v>
      </c>
      <c r="R5" s="135">
        <v>2.5138888888888889E-4</v>
      </c>
      <c r="S5" s="222">
        <f t="shared" si="8"/>
        <v>100</v>
      </c>
      <c r="T5" s="223">
        <f>Birling!B5</f>
        <v>70</v>
      </c>
      <c r="U5" s="274">
        <f>Birling!C5</f>
        <v>100</v>
      </c>
      <c r="V5" s="135">
        <v>1.3634259259259259E-3</v>
      </c>
      <c r="W5" s="222">
        <f t="shared" si="9"/>
        <v>44.142614601018678</v>
      </c>
      <c r="X5" s="137">
        <v>12</v>
      </c>
      <c r="Y5" s="222">
        <f t="shared" si="10"/>
        <v>54.54545454545454</v>
      </c>
      <c r="Z5" s="136">
        <v>1.8148148148148147E-4</v>
      </c>
      <c r="AA5" s="232">
        <f t="shared" si="11"/>
        <v>54.974489795918366</v>
      </c>
      <c r="AB5" s="135">
        <v>6.4733796296296295E-4</v>
      </c>
      <c r="AC5" s="222">
        <f t="shared" si="12"/>
        <v>73.001966744144482</v>
      </c>
      <c r="AD5" s="133">
        <v>6.5740740740740733E-4</v>
      </c>
      <c r="AE5" s="222">
        <f>IF(AD5="DNF","DNF",IF(AD5&gt;0,AD$29/AD5*100,""))</f>
        <v>100</v>
      </c>
      <c r="AF5" s="135">
        <v>9.0046296296296304E-4</v>
      </c>
      <c r="AG5" s="222">
        <f t="shared" si="14"/>
        <v>100</v>
      </c>
      <c r="AH5" s="133">
        <v>1.3912037037037037E-3</v>
      </c>
      <c r="AI5" s="222">
        <f t="shared" si="18"/>
        <v>81.863560732113143</v>
      </c>
      <c r="AJ5" s="135">
        <v>3.6168981481481482E-3</v>
      </c>
      <c r="AK5" s="222">
        <f t="shared" si="15"/>
        <v>89.600000000000009</v>
      </c>
      <c r="AL5" s="224">
        <v>3.7939814814814811E-3</v>
      </c>
      <c r="AM5" s="222">
        <f t="shared" si="19"/>
        <v>98.627211714460046</v>
      </c>
      <c r="AN5" s="139"/>
      <c r="AO5" s="225" t="str">
        <f t="shared" si="20"/>
        <v>Paul Smith's J&amp;J1</v>
      </c>
      <c r="AP5" s="29">
        <f t="shared" si="21"/>
        <v>1533.4030934716659</v>
      </c>
      <c r="AQ5" s="226">
        <f t="shared" si="16"/>
        <v>1</v>
      </c>
      <c r="AR5" s="227">
        <v>3</v>
      </c>
      <c r="AS5" s="139" t="str">
        <f>INDEX($AO$3:AO24,MATCH(AR5,$AQ$3:$AQ$22,0))</f>
        <v>UConn J&amp;J A</v>
      </c>
      <c r="AT5" s="140">
        <f t="shared" si="17"/>
        <v>1383.6684596207845</v>
      </c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39"/>
      <c r="BF5" s="139"/>
      <c r="BG5" s="139"/>
      <c r="BH5" s="139"/>
      <c r="BI5" s="139"/>
      <c r="BJ5" s="139"/>
      <c r="BK5" s="139"/>
      <c r="BL5" s="139"/>
      <c r="BM5" s="139"/>
      <c r="BN5" s="139"/>
      <c r="BO5" s="139"/>
      <c r="BP5" s="139"/>
      <c r="BQ5" s="139"/>
      <c r="BR5" s="139"/>
      <c r="BS5" s="139"/>
      <c r="BT5" s="139"/>
      <c r="BU5" s="139"/>
      <c r="BV5" s="139"/>
      <c r="BW5" s="139"/>
      <c r="BX5" s="139"/>
      <c r="BY5" s="139"/>
      <c r="BZ5" s="139"/>
      <c r="CA5" s="139"/>
      <c r="CB5" s="139"/>
      <c r="CC5" s="139"/>
      <c r="CD5" s="139"/>
      <c r="CE5" s="139"/>
      <c r="CF5" s="139"/>
      <c r="CG5" s="139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A5" s="139"/>
      <c r="DB5" s="139"/>
      <c r="DC5" s="139"/>
      <c r="DD5" s="139"/>
      <c r="DE5" s="139"/>
      <c r="DF5" s="139"/>
      <c r="DG5" s="139"/>
      <c r="DH5" s="139"/>
      <c r="DI5" s="139"/>
      <c r="DJ5" s="139"/>
      <c r="DK5" s="139"/>
      <c r="DL5" s="139"/>
      <c r="DM5" s="139"/>
      <c r="DN5" s="139"/>
      <c r="DO5" s="139"/>
      <c r="DP5" s="139"/>
      <c r="DQ5" s="139"/>
      <c r="DR5" s="139"/>
      <c r="DS5" s="139"/>
      <c r="DT5" s="139"/>
      <c r="DU5" s="139"/>
      <c r="DV5" s="139"/>
      <c r="DW5" s="139"/>
      <c r="DX5" s="139"/>
      <c r="DY5" s="139"/>
      <c r="DZ5" s="139"/>
      <c r="EA5" s="139"/>
      <c r="EB5" s="139"/>
      <c r="EC5" s="139"/>
      <c r="ED5" s="139"/>
      <c r="EE5" s="139"/>
      <c r="EF5" s="139"/>
      <c r="EG5" s="139"/>
      <c r="EH5" s="139"/>
      <c r="EI5" s="139"/>
      <c r="EJ5" s="139"/>
      <c r="EK5" s="139"/>
      <c r="EL5" s="139"/>
      <c r="EM5" s="139"/>
      <c r="EN5" s="139"/>
      <c r="EO5" s="139"/>
      <c r="EP5" s="139"/>
      <c r="EQ5" s="139"/>
      <c r="ER5" s="139"/>
      <c r="ES5" s="139"/>
      <c r="ET5" s="139"/>
      <c r="EU5" s="139"/>
      <c r="EV5" s="139"/>
      <c r="EW5" s="139"/>
    </row>
    <row r="6" spans="1:255" ht="12" customHeight="1">
      <c r="A6" s="33" t="s">
        <v>51</v>
      </c>
      <c r="B6" s="34">
        <v>4.2835648148148147E-3</v>
      </c>
      <c r="C6" s="35">
        <f>IF(B6="DNF","DNF",IF(B6&gt;0,B$29/B6*100,""))</f>
        <v>83.085652526344234</v>
      </c>
      <c r="D6" s="34">
        <v>2.9398148148148148E-3</v>
      </c>
      <c r="E6" s="35">
        <f t="shared" si="1"/>
        <v>100</v>
      </c>
      <c r="F6" s="34">
        <v>3.4421296296296301E-3</v>
      </c>
      <c r="G6" s="35">
        <f t="shared" si="2"/>
        <v>75.036987222595826</v>
      </c>
      <c r="H6" s="36">
        <v>2.3296296296296298E-3</v>
      </c>
      <c r="I6" s="35">
        <f t="shared" si="3"/>
        <v>66.434817170111288</v>
      </c>
      <c r="J6" s="36">
        <v>3.6160879629629629E-3</v>
      </c>
      <c r="K6" s="35">
        <f t="shared" si="4"/>
        <v>27.41094005057133</v>
      </c>
      <c r="L6" s="37">
        <v>2.7631944444444444E-3</v>
      </c>
      <c r="M6" s="35">
        <f t="shared" si="5"/>
        <v>45.1537237161766</v>
      </c>
      <c r="N6" s="230">
        <v>3.4872685185185185E-3</v>
      </c>
      <c r="O6" s="35">
        <f t="shared" si="6"/>
        <v>97.212080982409574</v>
      </c>
      <c r="P6" s="38">
        <v>24</v>
      </c>
      <c r="Q6" s="35">
        <f t="shared" si="7"/>
        <v>75</v>
      </c>
      <c r="R6" s="36">
        <v>5.4293981481481478E-4</v>
      </c>
      <c r="S6" s="35">
        <f t="shared" si="8"/>
        <v>46.301428266894057</v>
      </c>
      <c r="T6" s="39">
        <f>Birling!B6</f>
        <v>40.5</v>
      </c>
      <c r="U6" s="153">
        <f>Birling!C6</f>
        <v>90</v>
      </c>
      <c r="V6" s="36">
        <v>1.5682870370370371E-3</v>
      </c>
      <c r="W6" s="35">
        <f t="shared" si="9"/>
        <v>38.376383763837637</v>
      </c>
      <c r="X6" s="38">
        <v>8</v>
      </c>
      <c r="Y6" s="35">
        <f t="shared" si="10"/>
        <v>36.363636363636367</v>
      </c>
      <c r="Z6" s="37">
        <v>1.1712962962962963E-4</v>
      </c>
      <c r="AA6" s="198">
        <f t="shared" si="11"/>
        <v>85.177865612648219</v>
      </c>
      <c r="AB6" s="235">
        <v>1.7888888888888891E-3</v>
      </c>
      <c r="AC6" s="35">
        <f t="shared" si="12"/>
        <v>26.41692546583851</v>
      </c>
      <c r="AD6" s="34">
        <v>1.224537037037037E-3</v>
      </c>
      <c r="AE6" s="35">
        <f>IF(AD6="DNF","DNF",IF(AD6&gt;0,AD$29/AD6*100,""))</f>
        <v>53.686200378071824</v>
      </c>
      <c r="AF6" s="36">
        <v>1.3981481481481481E-3</v>
      </c>
      <c r="AG6" s="35">
        <f t="shared" si="14"/>
        <v>64.403973509933778</v>
      </c>
      <c r="AH6" s="34">
        <v>3.1557870370370368E-3</v>
      </c>
      <c r="AI6" s="35">
        <f t="shared" si="18"/>
        <v>36.088901929142523</v>
      </c>
      <c r="AJ6" s="34">
        <v>5.3645833333333332E-3</v>
      </c>
      <c r="AK6" s="35">
        <f t="shared" si="15"/>
        <v>60.409924487594388</v>
      </c>
      <c r="AL6" s="188">
        <v>5.138888888888889E-3</v>
      </c>
      <c r="AM6" s="35">
        <f t="shared" si="19"/>
        <v>72.815315315315317</v>
      </c>
      <c r="AN6" s="6"/>
      <c r="AO6" s="28" t="str">
        <f t="shared" si="20"/>
        <v>Ranger J&amp;J</v>
      </c>
      <c r="AP6" s="29">
        <f t="shared" si="21"/>
        <v>1179.3747567611215</v>
      </c>
      <c r="AQ6" s="42">
        <f t="shared" si="16"/>
        <v>7</v>
      </c>
      <c r="AR6" s="43">
        <v>4</v>
      </c>
      <c r="AS6" s="6" t="str">
        <f>INDEX($AO$3:AO25,MATCH(AR6,$AQ$3:$AQ$22,0))</f>
        <v>Paul Smith's J&amp;J2</v>
      </c>
      <c r="AT6" s="8">
        <f t="shared" si="17"/>
        <v>1378.8561340271808</v>
      </c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</row>
    <row r="7" spans="1:255" ht="12" customHeight="1">
      <c r="A7" s="22" t="s">
        <v>54</v>
      </c>
      <c r="B7" s="44">
        <v>4.5428240740740741E-3</v>
      </c>
      <c r="C7" s="45">
        <f t="shared" si="0"/>
        <v>78.343949044585983</v>
      </c>
      <c r="D7" s="44">
        <v>3.41087962962963E-3</v>
      </c>
      <c r="E7" s="45">
        <f t="shared" si="1"/>
        <v>86.189345096708507</v>
      </c>
      <c r="F7" s="44">
        <v>2.9965277777777781E-3</v>
      </c>
      <c r="G7" s="45">
        <f t="shared" si="2"/>
        <v>86.195442255697174</v>
      </c>
      <c r="H7" s="25">
        <v>2.098148148148148E-3</v>
      </c>
      <c r="I7" s="45">
        <f t="shared" si="3"/>
        <v>73.764342453662849</v>
      </c>
      <c r="J7" s="25">
        <v>9.9120370370370378E-4</v>
      </c>
      <c r="K7" s="45">
        <f t="shared" si="4"/>
        <v>100</v>
      </c>
      <c r="L7" s="46">
        <v>1.2476851851851852E-3</v>
      </c>
      <c r="M7" s="45">
        <f t="shared" si="5"/>
        <v>100</v>
      </c>
      <c r="N7" s="46">
        <v>3.6979166666666671E-3</v>
      </c>
      <c r="O7" s="45">
        <f t="shared" si="6"/>
        <v>91.674491392801258</v>
      </c>
      <c r="P7" s="47">
        <v>16</v>
      </c>
      <c r="Q7" s="45">
        <f t="shared" si="7"/>
        <v>50</v>
      </c>
      <c r="R7" s="25">
        <v>2.9814814814814813E-4</v>
      </c>
      <c r="S7" s="45">
        <f t="shared" si="8"/>
        <v>84.316770186335404</v>
      </c>
      <c r="T7" s="48">
        <f>Birling!B7</f>
        <v>2.5</v>
      </c>
      <c r="U7" s="274">
        <f>Birling!C7</f>
        <v>27.777777777777779</v>
      </c>
      <c r="V7" s="25">
        <v>2.0451388888888893E-3</v>
      </c>
      <c r="W7" s="45">
        <f t="shared" si="9"/>
        <v>29.428409734012444</v>
      </c>
      <c r="X7" s="47">
        <v>17</v>
      </c>
      <c r="Y7" s="45">
        <f t="shared" si="10"/>
        <v>77.272727272727266</v>
      </c>
      <c r="Z7" s="46">
        <v>2.8854166666666666E-4</v>
      </c>
      <c r="AA7" s="167">
        <f t="shared" si="11"/>
        <v>34.576815082230247</v>
      </c>
      <c r="AB7" s="25">
        <v>4.7256944444444446E-4</v>
      </c>
      <c r="AC7" s="45">
        <f t="shared" si="12"/>
        <v>100</v>
      </c>
      <c r="AD7" s="44">
        <v>9.2476851851851845E-4</v>
      </c>
      <c r="AE7" s="45">
        <f t="shared" si="13"/>
        <v>71.088861076345438</v>
      </c>
      <c r="AF7" s="25">
        <v>1.0590277777777777E-3</v>
      </c>
      <c r="AG7" s="45">
        <f t="shared" si="14"/>
        <v>85.027322404371603</v>
      </c>
      <c r="AH7" s="44">
        <v>1.1388888888888889E-3</v>
      </c>
      <c r="AI7" s="45">
        <f t="shared" si="18"/>
        <v>100</v>
      </c>
      <c r="AJ7" s="25">
        <v>5.5833333333333325E-3</v>
      </c>
      <c r="AK7" s="45">
        <f t="shared" si="15"/>
        <v>58.043117744610285</v>
      </c>
      <c r="AL7" s="189">
        <v>7.4884259259259262E-3</v>
      </c>
      <c r="AM7" s="45">
        <f t="shared" si="19"/>
        <v>49.969088098918085</v>
      </c>
      <c r="AN7" s="9"/>
      <c r="AO7" s="28" t="str">
        <f t="shared" si="20"/>
        <v>UConn J&amp;J A</v>
      </c>
      <c r="AP7" s="29">
        <f t="shared" si="21"/>
        <v>1383.6684596207845</v>
      </c>
      <c r="AQ7" s="49">
        <f t="shared" si="16"/>
        <v>3</v>
      </c>
      <c r="AR7" s="31">
        <v>5</v>
      </c>
      <c r="AS7" s="9" t="str">
        <f>INDEX($AO$3:AO26,MATCH(AR7,$AQ$3:$AQ$22,0))</f>
        <v>UNH K</v>
      </c>
      <c r="AT7" s="32">
        <f t="shared" si="17"/>
        <v>1313.8517210834148</v>
      </c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</row>
    <row r="8" spans="1:255" ht="12" customHeight="1">
      <c r="A8" s="33" t="s">
        <v>56</v>
      </c>
      <c r="B8" s="34">
        <v>4.7800925925925919E-3</v>
      </c>
      <c r="C8" s="35">
        <f t="shared" si="0"/>
        <v>74.455205811138029</v>
      </c>
      <c r="D8" s="34">
        <v>4.1805555555555554E-3</v>
      </c>
      <c r="E8" s="35">
        <f t="shared" si="1"/>
        <v>70.321151716500552</v>
      </c>
      <c r="F8" s="34">
        <v>3.0381944444444445E-3</v>
      </c>
      <c r="G8" s="35">
        <f t="shared" si="2"/>
        <v>85.013333333333335</v>
      </c>
      <c r="H8" s="36">
        <v>1.9233796296296297E-3</v>
      </c>
      <c r="I8" s="35">
        <f t="shared" si="3"/>
        <v>80.46696353351787</v>
      </c>
      <c r="J8" s="36">
        <v>3.2417245370370373E-3</v>
      </c>
      <c r="K8" s="35">
        <f t="shared" si="4"/>
        <v>30.576432154524518</v>
      </c>
      <c r="L8" s="37">
        <v>3.3784722222222224E-3</v>
      </c>
      <c r="M8" s="35">
        <f t="shared" si="5"/>
        <v>36.930455635491604</v>
      </c>
      <c r="N8" s="230">
        <v>4.5034722222222221E-3</v>
      </c>
      <c r="O8" s="35">
        <f t="shared" si="6"/>
        <v>75.276278591621704</v>
      </c>
      <c r="P8" s="38">
        <v>22</v>
      </c>
      <c r="Q8" s="35">
        <f t="shared" si="7"/>
        <v>68.75</v>
      </c>
      <c r="R8" s="36">
        <v>2.7395833333333336E-4</v>
      </c>
      <c r="S8" s="35">
        <f t="shared" si="8"/>
        <v>91.761723700887188</v>
      </c>
      <c r="T8" s="39">
        <f>Birling!B8</f>
        <v>3.1</v>
      </c>
      <c r="U8" s="153">
        <f>Birling!C8</f>
        <v>34.444444444444443</v>
      </c>
      <c r="V8" s="36">
        <v>2.488425925925926E-3</v>
      </c>
      <c r="W8" s="35">
        <f t="shared" si="9"/>
        <v>24.186046511627907</v>
      </c>
      <c r="X8" s="38">
        <v>14</v>
      </c>
      <c r="Y8" s="35">
        <f t="shared" si="10"/>
        <v>63.636363636363633</v>
      </c>
      <c r="Z8" s="37">
        <v>1.6921296296296294E-4</v>
      </c>
      <c r="AA8" s="198">
        <f t="shared" si="11"/>
        <v>58.960328317373467</v>
      </c>
      <c r="AB8" s="235">
        <v>1.2604166666666666E-3</v>
      </c>
      <c r="AC8" s="35">
        <f t="shared" si="12"/>
        <v>37.493112947658403</v>
      </c>
      <c r="AD8" s="34">
        <v>8.449074074074075E-4</v>
      </c>
      <c r="AE8" s="35">
        <f t="shared" si="13"/>
        <v>77.808219178082169</v>
      </c>
      <c r="AF8" s="36">
        <v>1.4120370370370369E-3</v>
      </c>
      <c r="AG8" s="35">
        <f t="shared" si="14"/>
        <v>63.770491803278695</v>
      </c>
      <c r="AH8" s="34">
        <v>2.2916666666666667E-3</v>
      </c>
      <c r="AI8" s="35">
        <f t="shared" si="18"/>
        <v>49.696969696969703</v>
      </c>
      <c r="AJ8" s="36">
        <v>7.4131944444444445E-3</v>
      </c>
      <c r="AK8" s="35">
        <f t="shared" si="15"/>
        <v>43.715846994535518</v>
      </c>
      <c r="AL8" s="188">
        <v>5.3298611111111107E-3</v>
      </c>
      <c r="AM8" s="35">
        <f t="shared" si="19"/>
        <v>70.206297502714449</v>
      </c>
      <c r="AN8" s="6"/>
      <c r="AO8" s="28" t="str">
        <f t="shared" si="20"/>
        <v>UNH J</v>
      </c>
      <c r="AP8" s="29">
        <f t="shared" si="21"/>
        <v>1137.4696655100631</v>
      </c>
      <c r="AQ8" s="42">
        <f t="shared" si="16"/>
        <v>8</v>
      </c>
      <c r="AR8" s="43">
        <v>6</v>
      </c>
      <c r="AS8" s="6" t="str">
        <f>INDEX($AO$3:AO27,MATCH(AR8,$AQ$3:$AQ$22,0))</f>
        <v>Colby B</v>
      </c>
      <c r="AT8" s="8">
        <f t="shared" si="17"/>
        <v>1251.2942047578467</v>
      </c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</row>
    <row r="9" spans="1:255" ht="12" customHeight="1">
      <c r="A9" s="22" t="s">
        <v>35</v>
      </c>
      <c r="B9" s="44">
        <v>5.9270833333333337E-3</v>
      </c>
      <c r="C9" s="45">
        <f t="shared" si="0"/>
        <v>60.046865846514351</v>
      </c>
      <c r="D9" s="44">
        <v>4.4606481481481476E-3</v>
      </c>
      <c r="E9" s="45">
        <f t="shared" si="1"/>
        <v>65.905552672548012</v>
      </c>
      <c r="F9" s="44">
        <v>4.5092592592592589E-3</v>
      </c>
      <c r="G9" s="45">
        <f t="shared" si="2"/>
        <v>57.27926078028748</v>
      </c>
      <c r="H9" s="25">
        <v>2.2053240740740744E-3</v>
      </c>
      <c r="I9" s="45">
        <f t="shared" si="3"/>
        <v>70.179489870893235</v>
      </c>
      <c r="J9" s="25">
        <v>2.2085648148148147E-3</v>
      </c>
      <c r="K9" s="45">
        <f t="shared" si="4"/>
        <v>44.879991615134692</v>
      </c>
      <c r="L9" s="46">
        <v>1.7496527777777777E-3</v>
      </c>
      <c r="M9" s="45">
        <f t="shared" si="5"/>
        <v>71.31044519415228</v>
      </c>
      <c r="N9" s="46">
        <v>4.2349537037037034E-3</v>
      </c>
      <c r="O9" s="45">
        <f t="shared" si="6"/>
        <v>80.049193768789308</v>
      </c>
      <c r="P9" s="47">
        <v>16</v>
      </c>
      <c r="Q9" s="45">
        <f t="shared" si="7"/>
        <v>50</v>
      </c>
      <c r="R9" s="25">
        <v>6.5590277777777782E-4</v>
      </c>
      <c r="S9" s="45">
        <f t="shared" si="8"/>
        <v>38.327157226045522</v>
      </c>
      <c r="T9" s="48">
        <f>Birling!B9</f>
        <v>7.2</v>
      </c>
      <c r="U9" s="274">
        <f>Birling!C9</f>
        <v>80</v>
      </c>
      <c r="V9" s="25">
        <v>1.6423611111111111E-3</v>
      </c>
      <c r="W9" s="45">
        <f t="shared" si="9"/>
        <v>36.645525017618041</v>
      </c>
      <c r="X9" s="47">
        <v>9</v>
      </c>
      <c r="Y9" s="45">
        <f t="shared" si="10"/>
        <v>40.909090909090914</v>
      </c>
      <c r="Z9" s="46">
        <v>3.0000000000000003E-4</v>
      </c>
      <c r="AA9" s="167">
        <f t="shared" si="11"/>
        <v>33.256172839506164</v>
      </c>
      <c r="AB9" s="25">
        <v>6.1207175925925917E-3</v>
      </c>
      <c r="AC9" s="45">
        <f t="shared" si="12"/>
        <v>7.7208176540665256</v>
      </c>
      <c r="AD9" s="44">
        <v>9.768518518518518E-4</v>
      </c>
      <c r="AE9" s="45">
        <f t="shared" si="13"/>
        <v>67.29857819905213</v>
      </c>
      <c r="AF9" s="25">
        <v>1.5555555555555557E-3</v>
      </c>
      <c r="AG9" s="45">
        <f t="shared" si="14"/>
        <v>57.886904761904766</v>
      </c>
      <c r="AH9" s="44">
        <v>6.7928240740740735E-3</v>
      </c>
      <c r="AI9" s="45">
        <f t="shared" si="18"/>
        <v>16.766058953825187</v>
      </c>
      <c r="AJ9" s="25">
        <v>5.0027777777777779E-3</v>
      </c>
      <c r="AK9" s="45">
        <f t="shared" si="15"/>
        <v>64.778826577827132</v>
      </c>
      <c r="AL9" s="189">
        <v>6.238425925925925E-3</v>
      </c>
      <c r="AM9" s="45">
        <f t="shared" si="19"/>
        <v>59.981447124304275</v>
      </c>
      <c r="AN9" s="9"/>
      <c r="AO9" s="28" t="str">
        <f t="shared" si="20"/>
        <v>UVM</v>
      </c>
      <c r="AP9" s="29">
        <f t="shared" si="21"/>
        <v>1003.2213790115601</v>
      </c>
      <c r="AQ9" s="49">
        <f t="shared" si="16"/>
        <v>10</v>
      </c>
      <c r="AR9" s="31">
        <v>7</v>
      </c>
      <c r="AS9" s="9" t="str">
        <f>INDEX($AO$3:AO28,MATCH(AR9,$AQ$3:$AQ$22,0))</f>
        <v>Ranger J&amp;J</v>
      </c>
      <c r="AT9" s="32">
        <f t="shared" si="17"/>
        <v>1179.3747567611215</v>
      </c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</row>
    <row r="10" spans="1:255" ht="12" customHeight="1">
      <c r="A10" s="33" t="s">
        <v>43</v>
      </c>
      <c r="B10" s="34">
        <v>4.3738425925925924E-3</v>
      </c>
      <c r="C10" s="35">
        <f t="shared" si="0"/>
        <v>81.370732998147659</v>
      </c>
      <c r="D10" s="34">
        <v>3.0949074074074078E-3</v>
      </c>
      <c r="E10" s="35">
        <f t="shared" si="1"/>
        <v>94.988780852655182</v>
      </c>
      <c r="F10" s="34">
        <v>2.9245370370370367E-3</v>
      </c>
      <c r="G10" s="35">
        <f t="shared" si="2"/>
        <v>88.317239195820804</v>
      </c>
      <c r="H10" s="36">
        <v>2.3848379629629632E-3</v>
      </c>
      <c r="I10" s="35">
        <f t="shared" si="3"/>
        <v>64.896869691822374</v>
      </c>
      <c r="J10" s="36">
        <v>4.0884259259259259E-3</v>
      </c>
      <c r="K10" s="35">
        <f t="shared" si="4"/>
        <v>24.244139961499268</v>
      </c>
      <c r="L10" s="37">
        <v>3.4641203703703704E-3</v>
      </c>
      <c r="M10" s="35">
        <f t="shared" si="5"/>
        <v>36.017373872368864</v>
      </c>
      <c r="N10" s="230">
        <v>3.5601851851851853E-3</v>
      </c>
      <c r="O10" s="35">
        <f t="shared" si="6"/>
        <v>95.221066319895982</v>
      </c>
      <c r="P10" s="38">
        <v>25</v>
      </c>
      <c r="Q10" s="35">
        <f t="shared" si="7"/>
        <v>78.125</v>
      </c>
      <c r="R10" s="36">
        <v>4.1041666666666662E-4</v>
      </c>
      <c r="S10" s="35">
        <f t="shared" si="8"/>
        <v>61.252115059221666</v>
      </c>
      <c r="T10" s="39">
        <f>Birling!B10</f>
        <v>3.1</v>
      </c>
      <c r="U10" s="153">
        <f>Birling!C10</f>
        <v>34.444444444444443</v>
      </c>
      <c r="V10" s="36">
        <v>6.7592592592592585E-4</v>
      </c>
      <c r="W10" s="35">
        <f t="shared" si="9"/>
        <v>89.041095890410972</v>
      </c>
      <c r="X10" s="38">
        <v>12</v>
      </c>
      <c r="Y10" s="35">
        <f t="shared" si="10"/>
        <v>54.54545454545454</v>
      </c>
      <c r="Z10" s="37">
        <v>2.0856481481481483E-4</v>
      </c>
      <c r="AA10" s="198">
        <f t="shared" si="11"/>
        <v>47.835738068812425</v>
      </c>
      <c r="AB10" s="235">
        <v>1.3726851851851851E-3</v>
      </c>
      <c r="AC10" s="35">
        <f t="shared" si="12"/>
        <v>34.426644182124797</v>
      </c>
      <c r="AD10" s="34">
        <v>7.9513888888888896E-4</v>
      </c>
      <c r="AE10" s="35">
        <f t="shared" si="13"/>
        <v>82.678311499272183</v>
      </c>
      <c r="AF10" s="36">
        <v>1.4502314814814814E-3</v>
      </c>
      <c r="AG10" s="35">
        <f t="shared" si="14"/>
        <v>62.090981644054274</v>
      </c>
      <c r="AH10" s="34">
        <v>2.9768518518518521E-3</v>
      </c>
      <c r="AI10" s="35">
        <f t="shared" si="18"/>
        <v>38.258164852255057</v>
      </c>
      <c r="AJ10" s="34">
        <v>3.2407407407407406E-3</v>
      </c>
      <c r="AK10" s="35">
        <f t="shared" si="15"/>
        <v>100</v>
      </c>
      <c r="AL10" s="188">
        <v>4.4791666666666669E-3</v>
      </c>
      <c r="AM10" s="35">
        <f t="shared" si="19"/>
        <v>83.540051679586554</v>
      </c>
      <c r="AN10" s="6"/>
      <c r="AO10" s="28" t="str">
        <f t="shared" si="20"/>
        <v>Colby B</v>
      </c>
      <c r="AP10" s="29">
        <f t="shared" si="21"/>
        <v>1251.2942047578467</v>
      </c>
      <c r="AQ10" s="42">
        <f t="shared" si="16"/>
        <v>6</v>
      </c>
      <c r="AR10" s="43">
        <v>8</v>
      </c>
      <c r="AS10" s="6" t="str">
        <f>INDEX($AO$3:AO29,MATCH(AR10,$AQ$3:$AQ$22,0))</f>
        <v>UNH J</v>
      </c>
      <c r="AT10" s="8">
        <f t="shared" si="17"/>
        <v>1137.4696655100631</v>
      </c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</row>
    <row r="11" spans="1:255" ht="12" customHeight="1">
      <c r="A11" s="254" t="s">
        <v>53</v>
      </c>
      <c r="B11" s="44">
        <v>4.7627314814814815E-3</v>
      </c>
      <c r="C11" s="45">
        <f t="shared" si="0"/>
        <v>74.726609963548</v>
      </c>
      <c r="D11" s="44">
        <v>3.6030092592592594E-3</v>
      </c>
      <c r="E11" s="45">
        <f t="shared" si="1"/>
        <v>81.593318342434955</v>
      </c>
      <c r="F11" s="44">
        <v>3.0578703703703705E-3</v>
      </c>
      <c r="G11" s="45">
        <f t="shared" si="2"/>
        <v>84.466313398940201</v>
      </c>
      <c r="H11" s="25">
        <v>1.6979166666666664E-3</v>
      </c>
      <c r="I11" s="45">
        <f t="shared" si="3"/>
        <v>91.152010906612148</v>
      </c>
      <c r="J11" s="25">
        <v>1.1252893518518519E-3</v>
      </c>
      <c r="K11" s="45">
        <f t="shared" si="4"/>
        <v>88.084340447415784</v>
      </c>
      <c r="L11" s="46">
        <v>1.4175925925925925E-3</v>
      </c>
      <c r="M11" s="45">
        <f t="shared" si="5"/>
        <v>88.014369693011119</v>
      </c>
      <c r="N11" s="46">
        <v>3.8009259259259263E-3</v>
      </c>
      <c r="O11" s="45">
        <f t="shared" si="6"/>
        <v>89.190012180267971</v>
      </c>
      <c r="P11" s="47">
        <v>22</v>
      </c>
      <c r="Q11" s="45">
        <f t="shared" si="7"/>
        <v>68.75</v>
      </c>
      <c r="R11" s="25">
        <v>4.6643518518518518E-4</v>
      </c>
      <c r="S11" s="45">
        <f t="shared" si="8"/>
        <v>53.895781637717121</v>
      </c>
      <c r="T11" s="48">
        <f>Birling!B11</f>
        <v>2.4</v>
      </c>
      <c r="U11" s="274">
        <f>Birling!C11</f>
        <v>26.666666666666664</v>
      </c>
      <c r="V11" s="25">
        <v>1.689814814814815E-3</v>
      </c>
      <c r="W11" s="45">
        <f t="shared" si="9"/>
        <v>35.61643835616438</v>
      </c>
      <c r="X11" s="47">
        <v>22</v>
      </c>
      <c r="Y11" s="45">
        <f t="shared" si="10"/>
        <v>100</v>
      </c>
      <c r="Z11" s="46">
        <v>2.4224537037037034E-4</v>
      </c>
      <c r="AA11" s="167">
        <f t="shared" si="11"/>
        <v>41.184902054467273</v>
      </c>
      <c r="AB11" s="25">
        <v>1.1516203703703703E-3</v>
      </c>
      <c r="AC11" s="45">
        <f t="shared" si="12"/>
        <v>41.035175879396988</v>
      </c>
      <c r="AD11" s="44">
        <v>6.8055555555555545E-4</v>
      </c>
      <c r="AE11" s="45">
        <f t="shared" si="13"/>
        <v>96.598639455782319</v>
      </c>
      <c r="AF11" s="25">
        <v>9.6064814814814808E-4</v>
      </c>
      <c r="AG11" s="45">
        <f t="shared" si="14"/>
        <v>93.734939759036166</v>
      </c>
      <c r="AH11" s="44">
        <v>2.3449074074074075E-3</v>
      </c>
      <c r="AI11" s="45">
        <f t="shared" si="18"/>
        <v>48.568608094768017</v>
      </c>
      <c r="AJ11" s="44">
        <v>3.7893518518518523E-3</v>
      </c>
      <c r="AK11" s="45">
        <f t="shared" si="15"/>
        <v>85.522296884544886</v>
      </c>
      <c r="AL11" s="189">
        <v>4.155092592592593E-3</v>
      </c>
      <c r="AM11" s="45">
        <f t="shared" si="19"/>
        <v>90.055710306406681</v>
      </c>
      <c r="AN11" s="9"/>
      <c r="AO11" s="28" t="str">
        <f t="shared" si="20"/>
        <v>Paul Smith's J&amp;J2</v>
      </c>
      <c r="AP11" s="29">
        <f t="shared" si="21"/>
        <v>1378.8561340271808</v>
      </c>
      <c r="AQ11" s="49">
        <f t="shared" si="16"/>
        <v>4</v>
      </c>
      <c r="AR11" s="31">
        <v>9</v>
      </c>
      <c r="AS11" s="9" t="str">
        <f>INDEX($AO$3:AO30,MATCH(AR11,$AQ$3:$AQ$22,0))</f>
        <v>UConn J&amp;J B</v>
      </c>
      <c r="AT11" s="32">
        <f t="shared" si="17"/>
        <v>1012.1348369080638</v>
      </c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</row>
    <row r="12" spans="1:255" ht="12" customHeight="1">
      <c r="A12" s="256" t="s">
        <v>55</v>
      </c>
      <c r="B12" s="34">
        <v>5.9143518518518521E-3</v>
      </c>
      <c r="C12" s="35">
        <f t="shared" si="0"/>
        <v>60.176125244618397</v>
      </c>
      <c r="D12" s="34">
        <v>7.1307870370370362E-3</v>
      </c>
      <c r="E12" s="35">
        <f t="shared" si="1"/>
        <v>41.227073527024835</v>
      </c>
      <c r="F12" s="34">
        <v>3.4490740740740745E-3</v>
      </c>
      <c r="G12" s="35">
        <f t="shared" si="2"/>
        <v>74.885906040268452</v>
      </c>
      <c r="H12" s="36">
        <v>2.2322916666666667E-3</v>
      </c>
      <c r="I12" s="35">
        <f t="shared" si="3"/>
        <v>69.331674184683976</v>
      </c>
      <c r="J12" s="36">
        <v>2.3997106481481482E-3</v>
      </c>
      <c r="K12" s="35">
        <f t="shared" si="4"/>
        <v>41.305134203101261</v>
      </c>
      <c r="L12" s="37">
        <v>1.4699074074074074E-3</v>
      </c>
      <c r="M12" s="35">
        <f t="shared" si="5"/>
        <v>84.881889763779526</v>
      </c>
      <c r="N12" s="230">
        <v>3.7847222222222223E-3</v>
      </c>
      <c r="O12" s="35">
        <f t="shared" si="6"/>
        <v>89.571865443425096</v>
      </c>
      <c r="P12" s="38">
        <v>0</v>
      </c>
      <c r="Q12" s="35">
        <f t="shared" si="7"/>
        <v>0</v>
      </c>
      <c r="R12" s="36">
        <v>6.2500000000000001E-4</v>
      </c>
      <c r="S12" s="35">
        <f>IF(R12="DNF","DNF",IF(R12&gt;0,R$29/R12*100,""))</f>
        <v>40.222222222222221</v>
      </c>
      <c r="T12" s="39">
        <f>Birling!B12</f>
        <v>3.9</v>
      </c>
      <c r="U12" s="153">
        <f>Birling!C12</f>
        <v>43.333333333333329</v>
      </c>
      <c r="V12" s="36">
        <v>1.2465277777777776E-3</v>
      </c>
      <c r="W12" s="35">
        <f t="shared" si="9"/>
        <v>48.282265552460544</v>
      </c>
      <c r="X12" s="38">
        <v>20</v>
      </c>
      <c r="Y12" s="35">
        <f t="shared" si="10"/>
        <v>90.909090909090907</v>
      </c>
      <c r="Z12" s="37">
        <v>5.7638888888888887E-4</v>
      </c>
      <c r="AA12" s="198">
        <f t="shared" si="11"/>
        <v>17.309236947791167</v>
      </c>
      <c r="AB12" s="235">
        <v>1.2530092592592593E-3</v>
      </c>
      <c r="AC12" s="35">
        <f t="shared" si="12"/>
        <v>37.714760761130613</v>
      </c>
      <c r="AD12" s="34">
        <v>9.5833333333333328E-4</v>
      </c>
      <c r="AE12" s="35">
        <f t="shared" si="13"/>
        <v>68.59903381642512</v>
      </c>
      <c r="AF12" s="36">
        <v>1.420138888888889E-3</v>
      </c>
      <c r="AG12" s="35">
        <f t="shared" si="14"/>
        <v>63.406682966585173</v>
      </c>
      <c r="AH12" s="34">
        <v>2.0405092592592593E-3</v>
      </c>
      <c r="AI12" s="35">
        <f t="shared" si="18"/>
        <v>55.813953488372093</v>
      </c>
      <c r="AJ12" s="36">
        <v>6.4710648148148149E-3</v>
      </c>
      <c r="AK12" s="35">
        <f t="shared" si="15"/>
        <v>50.080486496154528</v>
      </c>
      <c r="AL12" s="188">
        <v>1.0665509259259258E-2</v>
      </c>
      <c r="AM12" s="35">
        <f t="shared" si="19"/>
        <v>35.084102007596314</v>
      </c>
      <c r="AN12" s="6"/>
      <c r="AO12" s="28" t="str">
        <f t="shared" si="20"/>
        <v>UConn J&amp;J B</v>
      </c>
      <c r="AP12" s="29">
        <f t="shared" si="21"/>
        <v>1012.1348369080638</v>
      </c>
      <c r="AQ12" s="42">
        <f t="shared" si="16"/>
        <v>9</v>
      </c>
      <c r="AR12" s="43">
        <v>10</v>
      </c>
      <c r="AS12" s="6" t="str">
        <f>INDEX($AO$3:AO31,MATCH(AR12,$AQ$3:$AQ$22,0))</f>
        <v>UVM</v>
      </c>
      <c r="AT12" s="8">
        <f t="shared" si="17"/>
        <v>1003.2213790115601</v>
      </c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</row>
    <row r="13" spans="1:255" s="141" customFormat="1" ht="12" customHeight="1">
      <c r="A13" s="254" t="s">
        <v>57</v>
      </c>
      <c r="B13" s="211">
        <v>5.0405092592592593E-3</v>
      </c>
      <c r="C13" s="212">
        <f t="shared" si="0"/>
        <v>70.608495981630298</v>
      </c>
      <c r="D13" s="211">
        <v>3.3333333333333335E-3</v>
      </c>
      <c r="E13" s="212">
        <f t="shared" si="1"/>
        <v>88.194444444444443</v>
      </c>
      <c r="F13" s="211">
        <v>2.5828703703703704E-3</v>
      </c>
      <c r="G13" s="212">
        <f t="shared" si="2"/>
        <v>100</v>
      </c>
      <c r="H13" s="213">
        <v>1.813888888888889E-3</v>
      </c>
      <c r="I13" s="212">
        <f t="shared" si="3"/>
        <v>85.32414497192444</v>
      </c>
      <c r="J13" s="213">
        <v>1.5891203703703701E-3</v>
      </c>
      <c r="K13" s="212">
        <f t="shared" si="4"/>
        <v>62.374362709395506</v>
      </c>
      <c r="L13" s="214">
        <v>5.185185185185185E-3</v>
      </c>
      <c r="M13" s="212">
        <f t="shared" si="5"/>
        <v>24.0625</v>
      </c>
      <c r="N13" s="214">
        <v>4.6898148148148151E-3</v>
      </c>
      <c r="O13" s="212">
        <f t="shared" si="6"/>
        <v>72.285291214215206</v>
      </c>
      <c r="P13" s="215">
        <v>23</v>
      </c>
      <c r="Q13" s="212">
        <f t="shared" si="7"/>
        <v>71.875</v>
      </c>
      <c r="R13" s="213">
        <v>3.634259259259259E-4</v>
      </c>
      <c r="S13" s="212">
        <f t="shared" si="8"/>
        <v>69.171974522292999</v>
      </c>
      <c r="T13" s="216">
        <f>Birling!B13</f>
        <v>43.1</v>
      </c>
      <c r="U13" s="274">
        <f>Birling!C13</f>
        <v>85</v>
      </c>
      <c r="V13" s="213">
        <v>1.4652777777777778E-3</v>
      </c>
      <c r="W13" s="212">
        <f t="shared" si="9"/>
        <v>41.074249605055293</v>
      </c>
      <c r="X13" s="215">
        <v>12</v>
      </c>
      <c r="Y13" s="212">
        <f t="shared" si="10"/>
        <v>54.54545454545454</v>
      </c>
      <c r="Z13" s="214">
        <v>1.0983796296296296E-4</v>
      </c>
      <c r="AA13" s="233">
        <f t="shared" si="11"/>
        <v>90.832455216016854</v>
      </c>
      <c r="AB13" s="213">
        <v>7.9050925925925936E-4</v>
      </c>
      <c r="AC13" s="212">
        <f t="shared" si="12"/>
        <v>59.780380673499266</v>
      </c>
      <c r="AD13" s="211">
        <v>8.6805555555555551E-4</v>
      </c>
      <c r="AE13" s="212">
        <f t="shared" si="13"/>
        <v>75.733333333333334</v>
      </c>
      <c r="AF13" s="213">
        <v>1.1284722222222223E-3</v>
      </c>
      <c r="AG13" s="212">
        <f t="shared" si="14"/>
        <v>79.794871794871796</v>
      </c>
      <c r="AH13" s="211">
        <v>2.4976851851851853E-3</v>
      </c>
      <c r="AI13" s="212">
        <f t="shared" si="18"/>
        <v>45.597775718257651</v>
      </c>
      <c r="AJ13" s="213">
        <v>4.2939814814814811E-3</v>
      </c>
      <c r="AK13" s="212">
        <f t="shared" si="15"/>
        <v>75.471698113207552</v>
      </c>
      <c r="AL13" s="190">
        <v>6.023148148148149E-3</v>
      </c>
      <c r="AM13" s="212">
        <f t="shared" si="19"/>
        <v>62.125288239815525</v>
      </c>
      <c r="AN13" s="217"/>
      <c r="AO13" s="218" t="str">
        <f t="shared" si="20"/>
        <v>UNH K</v>
      </c>
      <c r="AP13" s="29">
        <f t="shared" si="21"/>
        <v>1313.8517210834148</v>
      </c>
      <c r="AQ13" s="219">
        <f t="shared" si="16"/>
        <v>5</v>
      </c>
      <c r="AR13" s="210">
        <v>11</v>
      </c>
      <c r="AS13" s="217" t="str">
        <f>INDEX($AO$3:AO32,MATCH(AR13,$AQ$3:$AQ$22,0))</f>
        <v>Colby C</v>
      </c>
      <c r="AT13" s="220">
        <f t="shared" si="17"/>
        <v>944.37671942877273</v>
      </c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7"/>
      <c r="BK13" s="217"/>
      <c r="BL13" s="217"/>
      <c r="BM13" s="217"/>
      <c r="BN13" s="217"/>
      <c r="BO13" s="217"/>
      <c r="BP13" s="217"/>
      <c r="BQ13" s="217"/>
      <c r="BR13" s="217"/>
      <c r="BS13" s="217"/>
      <c r="BT13" s="217"/>
      <c r="BU13" s="217"/>
      <c r="BV13" s="217"/>
      <c r="BW13" s="217"/>
      <c r="BX13" s="217"/>
      <c r="BY13" s="217"/>
      <c r="BZ13" s="217"/>
      <c r="CA13" s="217"/>
      <c r="CB13" s="217"/>
      <c r="CC13" s="217"/>
      <c r="CD13" s="217"/>
      <c r="CE13" s="217"/>
      <c r="CF13" s="217"/>
      <c r="CG13" s="217"/>
      <c r="CH13" s="217"/>
      <c r="CI13" s="217"/>
      <c r="CJ13" s="217"/>
      <c r="CK13" s="217"/>
      <c r="CL13" s="217"/>
      <c r="CM13" s="217"/>
      <c r="CN13" s="217"/>
      <c r="CO13" s="217"/>
      <c r="CP13" s="217"/>
      <c r="CQ13" s="217"/>
      <c r="CR13" s="217"/>
      <c r="CS13" s="217"/>
      <c r="CT13" s="217"/>
      <c r="CU13" s="217"/>
      <c r="CV13" s="217"/>
      <c r="CW13" s="217"/>
      <c r="CX13" s="217"/>
      <c r="CY13" s="217"/>
      <c r="CZ13" s="217"/>
      <c r="DA13" s="217"/>
      <c r="DB13" s="217"/>
      <c r="DC13" s="217"/>
      <c r="DD13" s="217"/>
      <c r="DE13" s="217"/>
      <c r="DF13" s="217"/>
      <c r="DG13" s="217"/>
      <c r="DH13" s="217"/>
      <c r="DI13" s="217"/>
      <c r="DJ13" s="217"/>
      <c r="DK13" s="217"/>
      <c r="DL13" s="217"/>
      <c r="DM13" s="217"/>
      <c r="DN13" s="217"/>
      <c r="DO13" s="217"/>
      <c r="DP13" s="217"/>
      <c r="DQ13" s="217"/>
      <c r="DR13" s="217"/>
      <c r="DS13" s="217"/>
      <c r="DT13" s="217"/>
      <c r="DU13" s="217"/>
      <c r="DV13" s="217"/>
      <c r="DW13" s="217"/>
      <c r="DX13" s="217"/>
      <c r="DY13" s="217"/>
      <c r="DZ13" s="217"/>
      <c r="EA13" s="217"/>
      <c r="EB13" s="217"/>
      <c r="EC13" s="217"/>
      <c r="ED13" s="217"/>
      <c r="EE13" s="217"/>
      <c r="EF13" s="217"/>
      <c r="EG13" s="217"/>
      <c r="EH13" s="217"/>
      <c r="EI13" s="217"/>
      <c r="EJ13" s="217"/>
      <c r="EK13" s="217"/>
      <c r="EL13" s="217"/>
      <c r="EM13" s="217"/>
      <c r="EN13" s="217"/>
      <c r="EO13" s="217"/>
      <c r="EP13" s="217"/>
      <c r="EQ13" s="217"/>
      <c r="ER13" s="217"/>
      <c r="ES13" s="217"/>
      <c r="ET13" s="217"/>
      <c r="EU13" s="217"/>
      <c r="EV13" s="217"/>
      <c r="EW13" s="217"/>
    </row>
    <row r="14" spans="1:255" ht="12" customHeight="1">
      <c r="A14" s="256" t="s">
        <v>44</v>
      </c>
      <c r="B14" s="34">
        <v>4.4756944444444445E-3</v>
      </c>
      <c r="C14" s="35">
        <f t="shared" si="0"/>
        <v>79.519006982156696</v>
      </c>
      <c r="D14" s="34">
        <v>7.4826388888888894E-3</v>
      </c>
      <c r="E14" s="35">
        <f t="shared" si="1"/>
        <v>39.288476411446247</v>
      </c>
      <c r="F14" s="34">
        <v>3.4421296296296301E-3</v>
      </c>
      <c r="G14" s="35">
        <f t="shared" si="2"/>
        <v>75.036987222595826</v>
      </c>
      <c r="H14" s="36">
        <v>2.9487268518518517E-3</v>
      </c>
      <c r="I14" s="35">
        <f t="shared" si="3"/>
        <v>52.486556501942928</v>
      </c>
      <c r="J14" s="36">
        <v>2.9892939814814817E-3</v>
      </c>
      <c r="K14" s="35">
        <f t="shared" si="4"/>
        <v>33.158455135030493</v>
      </c>
      <c r="L14" s="37">
        <v>2.1539351851851854E-3</v>
      </c>
      <c r="M14" s="35">
        <f t="shared" si="5"/>
        <v>57.925846319183229</v>
      </c>
      <c r="N14" s="230">
        <v>4.1122685185185186E-3</v>
      </c>
      <c r="O14" s="35">
        <f t="shared" si="6"/>
        <v>82.437376864621456</v>
      </c>
      <c r="P14" s="38">
        <v>4</v>
      </c>
      <c r="Q14" s="35">
        <f t="shared" si="7"/>
        <v>12.5</v>
      </c>
      <c r="R14" s="36">
        <v>5.1145833333333327E-4</v>
      </c>
      <c r="S14" s="35">
        <f t="shared" si="8"/>
        <v>49.151391717583174</v>
      </c>
      <c r="T14" s="39">
        <f>Birling!B14</f>
        <v>2.1</v>
      </c>
      <c r="U14" s="153">
        <f>Birling!C14</f>
        <v>23.333333333333336</v>
      </c>
      <c r="V14" s="36">
        <v>1.6689814814814814E-3</v>
      </c>
      <c r="W14" s="35">
        <f t="shared" si="9"/>
        <v>36.061026352288494</v>
      </c>
      <c r="X14" s="38">
        <v>11</v>
      </c>
      <c r="Y14" s="35">
        <f t="shared" si="10"/>
        <v>50</v>
      </c>
      <c r="Z14" s="37">
        <v>5.2013888888888889E-4</v>
      </c>
      <c r="AA14" s="198">
        <f t="shared" si="11"/>
        <v>19.181130396083663</v>
      </c>
      <c r="AB14" s="235">
        <v>8.7326388888888903E-4</v>
      </c>
      <c r="AC14" s="35">
        <f t="shared" si="12"/>
        <v>54.11530815109343</v>
      </c>
      <c r="AD14" s="34">
        <v>1.0243055555555556E-3</v>
      </c>
      <c r="AE14" s="35">
        <f t="shared" si="13"/>
        <v>64.180790960451958</v>
      </c>
      <c r="AF14" s="36">
        <v>1.6863425925925926E-3</v>
      </c>
      <c r="AG14" s="35">
        <f t="shared" si="14"/>
        <v>53.397391901166792</v>
      </c>
      <c r="AH14" s="34">
        <v>6.7592592592592591E-3</v>
      </c>
      <c r="AI14" s="35">
        <f t="shared" si="18"/>
        <v>16.849315068493151</v>
      </c>
      <c r="AJ14" s="34">
        <v>5.0694444444444441E-3</v>
      </c>
      <c r="AK14" s="35">
        <f t="shared" si="15"/>
        <v>63.926940639269411</v>
      </c>
      <c r="AL14" s="188">
        <v>4.572916666666667E-3</v>
      </c>
      <c r="AM14" s="35">
        <f t="shared" si="19"/>
        <v>81.827385472032404</v>
      </c>
      <c r="AN14" s="6"/>
      <c r="AO14" s="28" t="str">
        <f t="shared" si="20"/>
        <v>Colby C</v>
      </c>
      <c r="AP14" s="29">
        <f t="shared" si="21"/>
        <v>944.37671942877273</v>
      </c>
      <c r="AQ14" s="42">
        <f>RANK(AP14,$AP$3:$AP$24,0)</f>
        <v>11</v>
      </c>
      <c r="AR14" s="43">
        <v>12</v>
      </c>
      <c r="AS14" s="6" t="str">
        <f>INDEX($AO$3:AO33,MATCH(AR14,$AQ$3:$AQ$22,0))</f>
        <v>Dartmouth A</v>
      </c>
      <c r="AT14" s="8">
        <f t="shared" si="17"/>
        <v>903.73003599637389</v>
      </c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</row>
    <row r="15" spans="1:255" ht="12" customHeight="1">
      <c r="A15" s="254"/>
      <c r="B15" s="44"/>
      <c r="C15" s="45" t="str">
        <f t="shared" si="0"/>
        <v/>
      </c>
      <c r="D15" s="44"/>
      <c r="E15" s="45" t="str">
        <f t="shared" si="1"/>
        <v/>
      </c>
      <c r="F15" s="44"/>
      <c r="G15" s="45" t="str">
        <f t="shared" si="2"/>
        <v/>
      </c>
      <c r="H15" s="25"/>
      <c r="I15" s="45" t="str">
        <f t="shared" si="3"/>
        <v/>
      </c>
      <c r="J15" s="25"/>
      <c r="K15" s="45" t="str">
        <f t="shared" si="4"/>
        <v/>
      </c>
      <c r="L15" s="46"/>
      <c r="M15" s="45" t="str">
        <f t="shared" si="5"/>
        <v/>
      </c>
      <c r="N15" s="46"/>
      <c r="O15" s="45" t="str">
        <f t="shared" si="6"/>
        <v/>
      </c>
      <c r="P15" s="47"/>
      <c r="Q15" s="45" t="str">
        <f t="shared" si="7"/>
        <v/>
      </c>
      <c r="R15" s="25"/>
      <c r="S15" s="45" t="str">
        <f t="shared" si="8"/>
        <v/>
      </c>
      <c r="T15" s="48"/>
      <c r="U15" s="45"/>
      <c r="V15" s="25"/>
      <c r="W15" s="45" t="str">
        <f t="shared" si="9"/>
        <v/>
      </c>
      <c r="X15" s="47"/>
      <c r="Y15" s="45" t="str">
        <f t="shared" si="10"/>
        <v/>
      </c>
      <c r="Z15" s="46"/>
      <c r="AA15" s="167" t="str">
        <f t="shared" si="11"/>
        <v/>
      </c>
      <c r="AB15" s="25"/>
      <c r="AC15" s="45" t="str">
        <f t="shared" si="12"/>
        <v/>
      </c>
      <c r="AD15" s="44"/>
      <c r="AE15" s="45" t="str">
        <f t="shared" si="13"/>
        <v/>
      </c>
      <c r="AF15" s="25"/>
      <c r="AG15" s="45" t="str">
        <f t="shared" si="14"/>
        <v/>
      </c>
      <c r="AH15" s="44"/>
      <c r="AI15" s="45" t="str">
        <f t="shared" si="18"/>
        <v/>
      </c>
      <c r="AJ15" s="44"/>
      <c r="AK15" s="45" t="str">
        <f t="shared" si="15"/>
        <v/>
      </c>
      <c r="AL15" s="189"/>
      <c r="AM15" s="45" t="str">
        <f t="shared" si="19"/>
        <v/>
      </c>
      <c r="AN15" s="9"/>
      <c r="AO15" s="28"/>
      <c r="AP15" s="29"/>
      <c r="AQ15" s="49"/>
      <c r="AR15" s="31"/>
      <c r="AS15" s="9"/>
      <c r="AT15" s="32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</row>
    <row r="16" spans="1:255" ht="12" customHeight="1">
      <c r="A16" s="33"/>
      <c r="B16" s="34"/>
      <c r="C16" s="35" t="str">
        <f t="shared" si="0"/>
        <v/>
      </c>
      <c r="D16" s="34"/>
      <c r="E16" s="35" t="str">
        <f t="shared" si="1"/>
        <v/>
      </c>
      <c r="F16" s="34"/>
      <c r="G16" s="35" t="str">
        <f t="shared" si="2"/>
        <v/>
      </c>
      <c r="H16" s="36"/>
      <c r="I16" s="35" t="str">
        <f t="shared" si="3"/>
        <v/>
      </c>
      <c r="J16" s="36"/>
      <c r="K16" s="35" t="str">
        <f t="shared" si="4"/>
        <v/>
      </c>
      <c r="L16" s="37"/>
      <c r="M16" s="35" t="str">
        <f t="shared" si="5"/>
        <v/>
      </c>
      <c r="N16" s="230"/>
      <c r="O16" s="35" t="str">
        <f t="shared" si="6"/>
        <v/>
      </c>
      <c r="P16" s="38"/>
      <c r="Q16" s="35" t="str">
        <f t="shared" si="7"/>
        <v/>
      </c>
      <c r="R16" s="36"/>
      <c r="S16" s="35" t="str">
        <f t="shared" si="8"/>
        <v/>
      </c>
      <c r="T16" s="39"/>
      <c r="U16" s="35"/>
      <c r="V16" s="36"/>
      <c r="W16" s="35" t="str">
        <f t="shared" si="9"/>
        <v/>
      </c>
      <c r="X16" s="38"/>
      <c r="Y16" s="35" t="str">
        <f t="shared" si="10"/>
        <v/>
      </c>
      <c r="Z16" s="37"/>
      <c r="AA16" s="198" t="str">
        <f t="shared" si="11"/>
        <v/>
      </c>
      <c r="AB16" s="235"/>
      <c r="AC16" s="35" t="str">
        <f t="shared" si="12"/>
        <v/>
      </c>
      <c r="AD16" s="34"/>
      <c r="AE16" s="35" t="str">
        <f t="shared" si="13"/>
        <v/>
      </c>
      <c r="AF16" s="36"/>
      <c r="AG16" s="35" t="str">
        <f t="shared" si="14"/>
        <v/>
      </c>
      <c r="AH16" s="34"/>
      <c r="AI16" s="35" t="str">
        <f t="shared" si="18"/>
        <v/>
      </c>
      <c r="AJ16" s="36"/>
      <c r="AK16" s="35" t="str">
        <f t="shared" ref="AK16:AK18" si="22">IF(AJ16="DNF","DNF",IF(AJ16&gt;0,AJ$29/AJ16*100,""))</f>
        <v/>
      </c>
      <c r="AL16" s="188"/>
      <c r="AM16" s="35" t="str">
        <f t="shared" si="19"/>
        <v/>
      </c>
      <c r="AN16" s="6"/>
      <c r="AO16" s="258"/>
      <c r="AP16" s="259"/>
      <c r="AQ16" s="257"/>
      <c r="AR16" s="209"/>
      <c r="AS16" s="179"/>
      <c r="AT16" s="22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</row>
    <row r="17" spans="1:255" ht="12" customHeight="1">
      <c r="A17" s="22"/>
      <c r="B17" s="44"/>
      <c r="C17" s="45" t="str">
        <f t="shared" si="0"/>
        <v/>
      </c>
      <c r="D17" s="44"/>
      <c r="E17" s="45" t="str">
        <f t="shared" si="1"/>
        <v/>
      </c>
      <c r="F17" s="44"/>
      <c r="G17" s="45" t="str">
        <f t="shared" si="2"/>
        <v/>
      </c>
      <c r="H17" s="25"/>
      <c r="I17" s="45" t="str">
        <f t="shared" si="3"/>
        <v/>
      </c>
      <c r="J17" s="25"/>
      <c r="K17" s="45" t="str">
        <f t="shared" si="4"/>
        <v/>
      </c>
      <c r="L17" s="46"/>
      <c r="M17" s="45" t="str">
        <f t="shared" si="5"/>
        <v/>
      </c>
      <c r="N17" s="46"/>
      <c r="O17" s="45" t="str">
        <f t="shared" si="6"/>
        <v/>
      </c>
      <c r="P17" s="47"/>
      <c r="Q17" s="45" t="str">
        <f t="shared" si="7"/>
        <v/>
      </c>
      <c r="R17" s="25"/>
      <c r="S17" s="45" t="str">
        <f t="shared" si="8"/>
        <v/>
      </c>
      <c r="T17" s="50"/>
      <c r="U17" s="45"/>
      <c r="V17" s="25"/>
      <c r="W17" s="45" t="str">
        <f t="shared" si="9"/>
        <v/>
      </c>
      <c r="X17" s="47"/>
      <c r="Y17" s="45" t="str">
        <f t="shared" si="10"/>
        <v/>
      </c>
      <c r="Z17" s="46"/>
      <c r="AA17" s="167" t="str">
        <f t="shared" si="11"/>
        <v/>
      </c>
      <c r="AB17" s="25"/>
      <c r="AC17" s="45" t="str">
        <f t="shared" si="12"/>
        <v/>
      </c>
      <c r="AD17" s="44"/>
      <c r="AE17" s="45" t="str">
        <f t="shared" si="13"/>
        <v/>
      </c>
      <c r="AF17" s="25"/>
      <c r="AG17" s="45" t="str">
        <f t="shared" si="14"/>
        <v/>
      </c>
      <c r="AH17" s="44"/>
      <c r="AI17" s="45" t="str">
        <f t="shared" si="18"/>
        <v/>
      </c>
      <c r="AJ17" s="25"/>
      <c r="AK17" s="45" t="str">
        <f t="shared" si="22"/>
        <v/>
      </c>
      <c r="AL17" s="189"/>
      <c r="AM17" s="45" t="str">
        <f t="shared" si="19"/>
        <v/>
      </c>
      <c r="AN17" s="9"/>
      <c r="AO17" s="193"/>
      <c r="AP17" s="205"/>
      <c r="AQ17" s="194"/>
      <c r="AR17" s="31"/>
      <c r="AS17" s="9"/>
      <c r="AT17" s="32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</row>
    <row r="18" spans="1:255" ht="12" customHeight="1">
      <c r="A18" s="33"/>
      <c r="B18" s="34"/>
      <c r="C18" s="35" t="str">
        <f t="shared" si="0"/>
        <v/>
      </c>
      <c r="D18" s="34"/>
      <c r="E18" s="35" t="str">
        <f t="shared" si="1"/>
        <v/>
      </c>
      <c r="F18" s="34"/>
      <c r="G18" s="35" t="str">
        <f t="shared" si="2"/>
        <v/>
      </c>
      <c r="H18" s="36"/>
      <c r="I18" s="35" t="str">
        <f t="shared" si="3"/>
        <v/>
      </c>
      <c r="J18" s="36"/>
      <c r="K18" s="35" t="str">
        <f>IF(J18="DNF","DNF",IF(J18&gt;0,J$24/J18*100,""))</f>
        <v/>
      </c>
      <c r="L18" s="34"/>
      <c r="M18" s="35" t="str">
        <f>IF(L18="DNF","DNF",IF(L18&gt;0,L$24/L18*100,""))</f>
        <v/>
      </c>
      <c r="N18" s="230"/>
      <c r="O18" s="35" t="str">
        <f t="shared" si="6"/>
        <v/>
      </c>
      <c r="P18" s="38"/>
      <c r="Q18" s="35" t="str">
        <f t="shared" si="7"/>
        <v/>
      </c>
      <c r="R18" s="36"/>
      <c r="S18" s="35" t="str">
        <f>IF(R18="DNF","DNF",IF(R18&gt;0,R$24/R18*100,""))</f>
        <v/>
      </c>
      <c r="T18" s="5"/>
      <c r="U18" s="35"/>
      <c r="V18" s="36"/>
      <c r="W18" s="35" t="str">
        <f t="shared" si="9"/>
        <v/>
      </c>
      <c r="X18" s="38"/>
      <c r="Y18" s="35" t="str">
        <f t="shared" si="10"/>
        <v/>
      </c>
      <c r="Z18" s="34"/>
      <c r="AA18" s="198" t="str">
        <f t="shared" si="11"/>
        <v/>
      </c>
      <c r="AB18" s="235"/>
      <c r="AC18" s="51" t="str">
        <f t="shared" si="12"/>
        <v/>
      </c>
      <c r="AD18" s="34"/>
      <c r="AE18" s="35" t="str">
        <f t="shared" si="13"/>
        <v/>
      </c>
      <c r="AF18" s="36"/>
      <c r="AG18" s="35" t="str">
        <f t="shared" si="14"/>
        <v/>
      </c>
      <c r="AH18" s="34"/>
      <c r="AI18" s="35" t="str">
        <f t="shared" si="18"/>
        <v/>
      </c>
      <c r="AJ18" s="36"/>
      <c r="AK18" s="35" t="str">
        <f t="shared" si="22"/>
        <v/>
      </c>
      <c r="AL18" s="188"/>
      <c r="AM18" s="35" t="str">
        <f t="shared" si="19"/>
        <v/>
      </c>
      <c r="AN18" s="6"/>
      <c r="AO18" s="192"/>
      <c r="AP18" s="206"/>
      <c r="AQ18" s="56"/>
      <c r="AR18" s="43"/>
      <c r="AS18" s="6"/>
      <c r="AT18" s="8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</row>
    <row r="19" spans="1:255" ht="12" customHeight="1">
      <c r="A19" s="22"/>
      <c r="B19" s="44"/>
      <c r="C19" s="45"/>
      <c r="D19" s="44"/>
      <c r="E19" s="45"/>
      <c r="F19" s="44"/>
      <c r="G19" s="45"/>
      <c r="H19" s="25"/>
      <c r="I19" s="45"/>
      <c r="J19" s="25"/>
      <c r="K19" s="45"/>
      <c r="L19" s="46"/>
      <c r="M19" s="45"/>
      <c r="N19" s="46"/>
      <c r="O19" s="45"/>
      <c r="P19" s="47"/>
      <c r="Q19" s="45"/>
      <c r="R19" s="25"/>
      <c r="S19" s="45"/>
      <c r="T19" s="50"/>
      <c r="U19" s="45"/>
      <c r="V19" s="25"/>
      <c r="W19" s="45"/>
      <c r="X19" s="47"/>
      <c r="Y19" s="45"/>
      <c r="Z19" s="46"/>
      <c r="AA19" s="167"/>
      <c r="AB19" s="25"/>
      <c r="AC19" s="45"/>
      <c r="AD19" s="44"/>
      <c r="AE19" s="45"/>
      <c r="AF19" s="25"/>
      <c r="AG19" s="45"/>
      <c r="AH19" s="44"/>
      <c r="AI19" s="45"/>
      <c r="AJ19" s="25"/>
      <c r="AK19" s="45"/>
      <c r="AL19" s="189"/>
      <c r="AM19" s="45"/>
      <c r="AN19" s="9"/>
      <c r="AO19" s="193"/>
      <c r="AP19" s="205"/>
      <c r="AQ19" s="194"/>
      <c r="AR19" s="31"/>
      <c r="AS19" s="9"/>
      <c r="AT19" s="32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</row>
    <row r="20" spans="1:255" ht="12" customHeight="1">
      <c r="A20" s="33"/>
      <c r="B20" s="34"/>
      <c r="C20" s="35" t="str">
        <f t="shared" ref="C20:C22" si="23">IF(B20="DNF","DNF",IF(B20&gt;0,B$29/B20*100,""))</f>
        <v/>
      </c>
      <c r="D20" s="34"/>
      <c r="E20" s="35" t="str">
        <f t="shared" ref="E20:E22" si="24">IF(D20="DNF","DNF",IF(D20&gt;0,D$29/D20*100,""))</f>
        <v/>
      </c>
      <c r="F20" s="34"/>
      <c r="G20" s="35" t="str">
        <f t="shared" ref="G20:G22" si="25">IF(F20="DNF","DNF",IF(F20&gt;0,F$29/F20*100,""))</f>
        <v/>
      </c>
      <c r="H20" s="36"/>
      <c r="I20" s="35" t="str">
        <f t="shared" ref="I20:I22" si="26">IF(H20="DNF","DNF",IF(H20&gt;0,H$29/H20*100,""))</f>
        <v/>
      </c>
      <c r="J20" s="36"/>
      <c r="K20" s="35" t="str">
        <f>IF(J20="DNF","DNF",IF(J20&gt;0,J$24/J20*100,""))</f>
        <v/>
      </c>
      <c r="L20" s="37"/>
      <c r="M20" s="35" t="str">
        <f t="shared" ref="M20:M22" si="27">IF(L20="DNF","DNF",IF(L20&gt;0,L$24/L20*100,""))</f>
        <v/>
      </c>
      <c r="N20" s="230"/>
      <c r="O20" s="35" t="str">
        <f t="shared" ref="O20:O22" si="28">IF(N20="DNF","DNF",IF(N20&gt;0,N$29/N20*100,""))</f>
        <v/>
      </c>
      <c r="P20" s="38"/>
      <c r="Q20" s="35" t="str">
        <f t="shared" ref="Q20:Q22" si="29">IF(P20="DNF","DNF",IF(P20&lt;&gt;"",P20/P$29*100,""))</f>
        <v/>
      </c>
      <c r="R20" s="36"/>
      <c r="S20" s="35" t="str">
        <f t="shared" ref="S20:S22" si="30">IF(R20="DNF","DNF",IF(R20&gt;0,R$24/R20*100,""))</f>
        <v/>
      </c>
      <c r="T20" s="5"/>
      <c r="U20" s="35"/>
      <c r="V20" s="36"/>
      <c r="W20" s="35" t="str">
        <f t="shared" ref="W20:W22" si="31">IF(V20="DNF","DNF",IF(V20&gt;0,V$29/V20*100,""))</f>
        <v/>
      </c>
      <c r="X20" s="38"/>
      <c r="Y20" s="35" t="str">
        <f t="shared" ref="Y20:Y22" si="32">IF(X20="DNF","DNF",IF(X20&lt;&gt;"",X20/X$29*100,""))</f>
        <v/>
      </c>
      <c r="Z20" s="37"/>
      <c r="AA20" s="198" t="str">
        <f t="shared" ref="AA20:AA22" si="33">IF(Z20="DNF","DNF",IF(Z20&gt;0,Z$29/Z20*100,""))</f>
        <v/>
      </c>
      <c r="AB20" s="235"/>
      <c r="AC20" s="35" t="str">
        <f t="shared" ref="AC20:AC22" si="34">IF(AB20="DNF","DNF",IF(AB20&gt;0,AB$29/AB20*100,""))</f>
        <v/>
      </c>
      <c r="AD20" s="34"/>
      <c r="AE20" s="35" t="str">
        <f t="shared" ref="AE20:AE22" si="35">IF(AD20="DNF","DNF",IF(AD20&gt;0,AD$29/AD20*100,""))</f>
        <v/>
      </c>
      <c r="AF20" s="36"/>
      <c r="AG20" s="35" t="str">
        <f t="shared" ref="AG20:AG22" si="36">IF(AF20="DNF","DNF",IF(AF20&gt;0,AF$29/AF20*100,""))</f>
        <v/>
      </c>
      <c r="AH20" s="34"/>
      <c r="AI20" s="35" t="str">
        <f t="shared" ref="AI20:AI22" si="37">IF(AH20="DNF","DNF",IF(AH20&gt;0,AH$29/AH20*100,""))</f>
        <v/>
      </c>
      <c r="AJ20" s="36"/>
      <c r="AK20" s="35" t="str">
        <f t="shared" ref="AK20:AK22" si="38">IF(AJ20="DNF","DNF",IF(AJ20&gt;0,AJ$29/AJ20*100,""))</f>
        <v/>
      </c>
      <c r="AL20" s="188"/>
      <c r="AM20" s="35" t="str">
        <f t="shared" ref="AM20:AM22" si="39">IF(AL20="DNF","DNF",IF(AL20&gt;0,AL$29/AL20*100,""))</f>
        <v/>
      </c>
      <c r="AN20" s="6"/>
      <c r="AO20" s="192"/>
      <c r="AP20" s="206"/>
      <c r="AQ20" s="56"/>
      <c r="AR20" s="43"/>
      <c r="AS20" s="6"/>
      <c r="AT20" s="8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</row>
    <row r="21" spans="1:255" ht="12" customHeight="1">
      <c r="A21" s="22"/>
      <c r="B21" s="46"/>
      <c r="C21" s="45" t="str">
        <f t="shared" si="23"/>
        <v/>
      </c>
      <c r="D21" s="46"/>
      <c r="E21" s="45" t="str">
        <f t="shared" si="24"/>
        <v/>
      </c>
      <c r="F21" s="46"/>
      <c r="G21" s="45" t="str">
        <f t="shared" si="25"/>
        <v/>
      </c>
      <c r="H21" s="25"/>
      <c r="I21" s="45" t="str">
        <f t="shared" si="26"/>
        <v/>
      </c>
      <c r="J21" s="25"/>
      <c r="K21" s="45" t="str">
        <f>IF(J21="DNF","DNF",IF(J21&gt;0,J$24/J21*100,""))</f>
        <v/>
      </c>
      <c r="L21" s="46"/>
      <c r="M21" s="45" t="str">
        <f t="shared" si="27"/>
        <v/>
      </c>
      <c r="N21" s="46"/>
      <c r="O21" s="45" t="str">
        <f t="shared" si="28"/>
        <v/>
      </c>
      <c r="P21" s="47"/>
      <c r="Q21" s="45" t="str">
        <f t="shared" si="29"/>
        <v/>
      </c>
      <c r="R21" s="25"/>
      <c r="S21" s="45" t="str">
        <f t="shared" si="30"/>
        <v/>
      </c>
      <c r="T21" s="50"/>
      <c r="U21" s="45"/>
      <c r="V21" s="25"/>
      <c r="W21" s="45" t="str">
        <f t="shared" si="31"/>
        <v/>
      </c>
      <c r="X21" s="52"/>
      <c r="Y21" s="45" t="str">
        <f t="shared" si="32"/>
        <v/>
      </c>
      <c r="Z21" s="46"/>
      <c r="AA21" s="167" t="str">
        <f t="shared" si="33"/>
        <v/>
      </c>
      <c r="AB21" s="25"/>
      <c r="AC21" s="45" t="str">
        <f t="shared" si="34"/>
        <v/>
      </c>
      <c r="AD21" s="46"/>
      <c r="AE21" s="45" t="str">
        <f t="shared" si="35"/>
        <v/>
      </c>
      <c r="AF21" s="25"/>
      <c r="AG21" s="45" t="str">
        <f t="shared" si="36"/>
        <v/>
      </c>
      <c r="AH21" s="46"/>
      <c r="AI21" s="45" t="str">
        <f t="shared" si="37"/>
        <v/>
      </c>
      <c r="AJ21" s="25"/>
      <c r="AK21" s="45" t="str">
        <f t="shared" si="38"/>
        <v/>
      </c>
      <c r="AL21" s="189"/>
      <c r="AM21" s="45" t="str">
        <f t="shared" si="39"/>
        <v/>
      </c>
      <c r="AN21" s="9"/>
      <c r="AO21" s="193"/>
      <c r="AP21" s="205"/>
      <c r="AQ21" s="194"/>
      <c r="AR21" s="31"/>
      <c r="AS21" s="9"/>
      <c r="AT21" s="32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</row>
    <row r="22" spans="1:255" ht="12" customHeight="1">
      <c r="A22" s="33"/>
      <c r="B22" s="34"/>
      <c r="C22" s="35" t="str">
        <f t="shared" si="23"/>
        <v/>
      </c>
      <c r="D22" s="34"/>
      <c r="E22" s="35" t="str">
        <f t="shared" si="24"/>
        <v/>
      </c>
      <c r="F22" s="34"/>
      <c r="G22" s="35" t="str">
        <f t="shared" si="25"/>
        <v/>
      </c>
      <c r="H22" s="36"/>
      <c r="I22" s="35" t="str">
        <f t="shared" si="26"/>
        <v/>
      </c>
      <c r="J22" s="36"/>
      <c r="K22" s="35" t="str">
        <f>IF(J22="DNF","DNF",IF(J22&gt;0,J$24/J22*100,""))</f>
        <v/>
      </c>
      <c r="L22" s="37"/>
      <c r="M22" s="35" t="str">
        <f t="shared" si="27"/>
        <v/>
      </c>
      <c r="N22" s="230"/>
      <c r="O22" s="35" t="str">
        <f t="shared" si="28"/>
        <v/>
      </c>
      <c r="P22" s="38"/>
      <c r="Q22" s="35" t="str">
        <f t="shared" si="29"/>
        <v/>
      </c>
      <c r="R22" s="36"/>
      <c r="S22" s="35" t="str">
        <f t="shared" si="30"/>
        <v/>
      </c>
      <c r="T22" s="5"/>
      <c r="U22" s="35"/>
      <c r="V22" s="36"/>
      <c r="W22" s="35" t="str">
        <f t="shared" si="31"/>
        <v/>
      </c>
      <c r="X22" s="38"/>
      <c r="Y22" s="35" t="str">
        <f t="shared" si="32"/>
        <v/>
      </c>
      <c r="Z22" s="37"/>
      <c r="AA22" s="198" t="str">
        <f t="shared" si="33"/>
        <v/>
      </c>
      <c r="AB22" s="235"/>
      <c r="AC22" s="35" t="str">
        <f t="shared" si="34"/>
        <v/>
      </c>
      <c r="AD22" s="34"/>
      <c r="AE22" s="35" t="str">
        <f t="shared" si="35"/>
        <v/>
      </c>
      <c r="AF22" s="36"/>
      <c r="AG22" s="35" t="str">
        <f t="shared" si="36"/>
        <v/>
      </c>
      <c r="AH22" s="34"/>
      <c r="AI22" s="35" t="str">
        <f t="shared" si="37"/>
        <v/>
      </c>
      <c r="AJ22" s="36"/>
      <c r="AK22" s="35" t="str">
        <f t="shared" si="38"/>
        <v/>
      </c>
      <c r="AL22" s="188"/>
      <c r="AM22" s="35" t="str">
        <f t="shared" si="39"/>
        <v/>
      </c>
      <c r="AN22" s="6"/>
      <c r="AO22" s="192"/>
      <c r="AP22" s="206"/>
      <c r="AQ22" s="56"/>
      <c r="AR22" s="43"/>
      <c r="AS22" s="6"/>
      <c r="AT22" s="8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</row>
    <row r="23" spans="1:255" ht="12" customHeight="1">
      <c r="A23" s="22"/>
      <c r="B23" s="44"/>
      <c r="C23" s="45"/>
      <c r="D23" s="44"/>
      <c r="E23" s="45"/>
      <c r="F23" s="44"/>
      <c r="G23" s="45"/>
      <c r="H23" s="25"/>
      <c r="I23" s="45"/>
      <c r="J23" s="46"/>
      <c r="K23" s="45"/>
      <c r="L23" s="46"/>
      <c r="M23" s="45"/>
      <c r="N23" s="46"/>
      <c r="O23" s="45"/>
      <c r="P23" s="47"/>
      <c r="Q23" s="45"/>
      <c r="R23" s="25"/>
      <c r="S23" s="45"/>
      <c r="T23" s="50"/>
      <c r="U23" s="45"/>
      <c r="V23" s="25"/>
      <c r="W23" s="45"/>
      <c r="X23" s="47"/>
      <c r="Y23" s="45"/>
      <c r="Z23" s="46"/>
      <c r="AA23" s="167"/>
      <c r="AB23" s="25"/>
      <c r="AC23" s="45"/>
      <c r="AD23" s="44"/>
      <c r="AE23" s="45"/>
      <c r="AF23" s="25"/>
      <c r="AG23" s="45"/>
      <c r="AH23" s="25"/>
      <c r="AI23" s="45"/>
      <c r="AJ23" s="25"/>
      <c r="AK23" s="45"/>
      <c r="AL23" s="189"/>
      <c r="AM23" s="45"/>
      <c r="AN23" s="9"/>
      <c r="AO23" s="200" t="s">
        <v>40</v>
      </c>
      <c r="AP23" s="205"/>
      <c r="AQ23" s="194"/>
      <c r="AR23" s="53"/>
      <c r="AS23" s="9"/>
      <c r="AT23" s="32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</row>
    <row r="24" spans="1:255" ht="12" customHeight="1">
      <c r="A24" s="11"/>
      <c r="B24" s="14"/>
      <c r="C24" s="54" t="str">
        <f t="shared" ref="C24" si="40">IF(B24="DNF","DNF",IF(B24&gt;0,B$29/B24*100,""))</f>
        <v/>
      </c>
      <c r="D24" s="14"/>
      <c r="E24" s="54" t="str">
        <f t="shared" ref="E24:E27" si="41">IF(D24="DNF","DNF",IF(D24&gt;0,D$29/D24*100,""))</f>
        <v/>
      </c>
      <c r="F24" s="14"/>
      <c r="G24" s="54" t="str">
        <f t="shared" ref="G24:G27" si="42">IF(F24="DNF","DNF",IF(F24&gt;0,F$29/F24*100,""))</f>
        <v/>
      </c>
      <c r="H24" s="14"/>
      <c r="I24" s="54" t="str">
        <f t="shared" ref="I24:I27" si="43">IF(H24="DNF","DNF",IF(H24&gt;0,H$29/H24*100,""))</f>
        <v/>
      </c>
      <c r="J24" s="55"/>
      <c r="K24" s="54" t="str">
        <f>IF(J24="DNF","DNF",IF(J24&gt;0,J$29/J24*100,""))</f>
        <v/>
      </c>
      <c r="L24" s="55"/>
      <c r="M24" s="54"/>
      <c r="N24" s="180"/>
      <c r="O24" s="54" t="str">
        <f t="shared" ref="O24:O27" si="44">IF(N24="DNF","DNF",IF(N24&gt;0,N$29/N24*100,""))</f>
        <v/>
      </c>
      <c r="P24" s="15"/>
      <c r="Q24" s="54" t="str">
        <f t="shared" ref="Q24:Q27" si="45">IF(P24="DNF","DNF",IF(P24&lt;&gt;"",P24/P$29*100,""))</f>
        <v/>
      </c>
      <c r="R24" s="14"/>
      <c r="S24" s="54" t="str">
        <f t="shared" ref="S24:S27" si="46">IF(R24="DNF","DNF",IF(R24&gt;0,R$29/R24*100,""))</f>
        <v/>
      </c>
      <c r="T24" s="147"/>
      <c r="U24" s="148"/>
      <c r="V24" s="14"/>
      <c r="W24" s="54" t="str">
        <f t="shared" ref="W24:W27" si="47">IF(V24="DNF","DNF",IF(V24&gt;0,V$29/V24*100,""))</f>
        <v/>
      </c>
      <c r="X24" s="15"/>
      <c r="Y24" s="54" t="str">
        <f t="shared" ref="Y24:Y27" si="48">IF(X24="DNF","DNF",IF(X24&lt;&gt;"",X24/X$29*100,""))</f>
        <v/>
      </c>
      <c r="Z24" s="55"/>
      <c r="AA24" s="198" t="str">
        <f t="shared" ref="AA24:AA27" si="49">IF(Z24="DNF","DNF",IF(Z24&gt;0,Z$29/Z24*100,""))</f>
        <v/>
      </c>
      <c r="AB24" s="180"/>
      <c r="AC24" s="54" t="str">
        <f t="shared" ref="AC24:AC27" si="50">IF(AB24="DNF","DNF",IF(AB24&gt;0,AB$29/AB24*100,""))</f>
        <v/>
      </c>
      <c r="AD24" s="14"/>
      <c r="AE24" s="54" t="str">
        <f t="shared" ref="AE24:AE27" si="51">IF(AD24="DNF","DNF",IF(AD24&gt;0,AD$29/AD24*100,""))</f>
        <v/>
      </c>
      <c r="AF24" s="55"/>
      <c r="AG24" s="54" t="str">
        <f t="shared" ref="AG24:AG27" si="52">IF(AF24="DNF","DNF",IF(AF24&gt;0,AF$29/AF24*100,""))</f>
        <v/>
      </c>
      <c r="AH24" s="14"/>
      <c r="AI24" s="54" t="str">
        <f t="shared" ref="AI24:AI27" si="53">IF(AH24="DNF","DNF",IF(AH24&gt;0,AH$29/AH24*100,""))</f>
        <v/>
      </c>
      <c r="AJ24" s="55"/>
      <c r="AK24" s="54" t="str">
        <f t="shared" ref="AK24:AK27" si="54">IF(AJ24="DNF","DNF",IF(AJ24&gt;0,AJ$29/AJ24*100,""))</f>
        <v/>
      </c>
      <c r="AL24" s="188"/>
      <c r="AM24" s="54" t="str">
        <f t="shared" ref="AM24:AM28" si="55">IF(AL24="DNF","DNF",IF(AL24&gt;0,AL$29/AL24*100,""))</f>
        <v/>
      </c>
      <c r="AN24" s="6"/>
      <c r="AO24" s="203"/>
      <c r="AP24" s="207"/>
      <c r="AQ24" s="204"/>
      <c r="AR24" s="57"/>
      <c r="AS24" s="6"/>
      <c r="AT24" s="8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</row>
    <row r="25" spans="1:255" ht="12" customHeight="1">
      <c r="A25" s="129" t="s">
        <v>46</v>
      </c>
      <c r="B25" s="44">
        <v>3.4305555555555552E-3</v>
      </c>
      <c r="C25" s="45">
        <f>IF(B25="DNF","DNF",IF(B25&gt;0,B$29/B25*100,""))</f>
        <v>103.74493927125508</v>
      </c>
      <c r="D25" s="44">
        <v>2.8958333333333332E-3</v>
      </c>
      <c r="E25" s="45">
        <f t="shared" si="41"/>
        <v>101.51878497202237</v>
      </c>
      <c r="F25" s="44">
        <v>3.294444444444444E-3</v>
      </c>
      <c r="G25" s="45">
        <f t="shared" si="42"/>
        <v>78.400786958965725</v>
      </c>
      <c r="H25" s="25">
        <v>1.5386574074074072E-3</v>
      </c>
      <c r="I25" s="45">
        <f t="shared" si="43"/>
        <v>100.58673085602527</v>
      </c>
      <c r="J25" s="25">
        <v>3.0859953703703705E-3</v>
      </c>
      <c r="K25" s="45">
        <f>IF(J25="DNF","DNF",IF(J25&gt;0,J$29/J25*100,""))</f>
        <v>32.119416419757719</v>
      </c>
      <c r="L25" s="46">
        <v>9.8935185185185194E-4</v>
      </c>
      <c r="M25" s="45">
        <f t="shared" ref="M25:M27" si="56">IF(L25="DNF","DNF",IF(L25&gt;0,L$29/L25*100,""))</f>
        <v>126.1113710809546</v>
      </c>
      <c r="N25" s="46">
        <v>3.5960648148148154E-3</v>
      </c>
      <c r="O25" s="45">
        <f t="shared" si="44"/>
        <v>94.27100096556164</v>
      </c>
      <c r="P25" s="47">
        <v>28</v>
      </c>
      <c r="Q25" s="45">
        <f t="shared" si="45"/>
        <v>87.5</v>
      </c>
      <c r="R25" s="25">
        <v>2.9166666666666669E-4</v>
      </c>
      <c r="S25" s="144">
        <f t="shared" si="46"/>
        <v>86.19047619047619</v>
      </c>
      <c r="T25" s="150">
        <f>Birling!B19</f>
        <v>1.4</v>
      </c>
      <c r="U25" s="243">
        <f>Birling!C19</f>
        <v>15.555555555555554</v>
      </c>
      <c r="V25" s="25">
        <v>7.0624999999999996E-4</v>
      </c>
      <c r="W25" s="45">
        <f t="shared" si="47"/>
        <v>85.217961324156022</v>
      </c>
      <c r="X25" s="47">
        <v>11</v>
      </c>
      <c r="Y25" s="45">
        <f t="shared" si="48"/>
        <v>50</v>
      </c>
      <c r="Z25" s="46">
        <v>3.347222222222222E-4</v>
      </c>
      <c r="AA25" s="243">
        <f t="shared" si="49"/>
        <v>29.806362378976488</v>
      </c>
      <c r="AB25" s="25">
        <v>8.9120370370370362E-4</v>
      </c>
      <c r="AC25" s="45">
        <f t="shared" si="50"/>
        <v>53.02597402597403</v>
      </c>
      <c r="AD25" s="44">
        <v>9.5833333333333328E-4</v>
      </c>
      <c r="AE25" s="45">
        <f t="shared" si="51"/>
        <v>68.59903381642512</v>
      </c>
      <c r="AF25" s="25">
        <v>1.1539351851851851E-3</v>
      </c>
      <c r="AG25" s="45">
        <f t="shared" si="52"/>
        <v>78.034102306920772</v>
      </c>
      <c r="AH25" s="44">
        <v>1.0995370370370371E-3</v>
      </c>
      <c r="AI25" s="45">
        <f t="shared" si="53"/>
        <v>103.57894736842105</v>
      </c>
      <c r="AJ25" s="25">
        <v>2.685185185185185E-3</v>
      </c>
      <c r="AK25" s="45">
        <f t="shared" si="54"/>
        <v>120.68965517241379</v>
      </c>
      <c r="AL25" s="187">
        <v>4.1736111111111114E-3</v>
      </c>
      <c r="AM25" s="45">
        <f t="shared" si="55"/>
        <v>89.6561286744315</v>
      </c>
      <c r="AN25" s="9"/>
      <c r="AO25" s="201" t="str">
        <f>A25</f>
        <v>Dartmouth Alum A</v>
      </c>
      <c r="AP25" s="29">
        <f t="shared" ref="AP25:AP27" si="57">SUM(C25,E25,G25,I25,K25,M25,O25,Q25,S25,U25,W25,Y25,AA25,AC25,AE25,AG25,AI25,AK25,AM25)</f>
        <v>1504.6072273382927</v>
      </c>
      <c r="AQ25" s="202">
        <f>RANK(AP25,$AP$25:$AP$28,0)</f>
        <v>1</v>
      </c>
      <c r="AR25" s="31">
        <v>1</v>
      </c>
      <c r="AS25" s="9" t="str">
        <f>INDEX($AO$25:AO27,MATCH(AR3,$AQ$25:$AQ$27,0))</f>
        <v>Dartmouth Alum A</v>
      </c>
      <c r="AT25" s="32">
        <f>INDEX($AP$25:$AP$27,MATCH(AS25,$AO$25:$AO$27,0))</f>
        <v>1504.6072273382927</v>
      </c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</row>
    <row r="26" spans="1:255" ht="12" customHeight="1">
      <c r="A26" s="128" t="s">
        <v>38</v>
      </c>
      <c r="B26" s="34">
        <v>5.7523148148148143E-3</v>
      </c>
      <c r="C26" s="35">
        <f>IF(B26="DNF","DNF",IF(B26&gt;0,B$29/B26*100,""))</f>
        <v>61.87122736418511</v>
      </c>
      <c r="D26" s="34">
        <v>3.913194444444444E-3</v>
      </c>
      <c r="E26" s="35">
        <f t="shared" si="41"/>
        <v>75.12570245489502</v>
      </c>
      <c r="F26" s="34">
        <v>3.0770833333333331E-3</v>
      </c>
      <c r="G26" s="35">
        <f t="shared" si="42"/>
        <v>83.938915218536081</v>
      </c>
      <c r="H26" s="36">
        <v>2.2453703703703702E-3</v>
      </c>
      <c r="I26" s="35">
        <f t="shared" si="43"/>
        <v>68.927835051546396</v>
      </c>
      <c r="J26" s="36">
        <v>2.6004629629629628E-3</v>
      </c>
      <c r="K26" s="35">
        <f>IF(J26="DNF","DNF",IF(J26&gt;0,J$29/J26*100,""))</f>
        <v>38.116432259213106</v>
      </c>
      <c r="L26" s="37">
        <v>1.1267361111111111E-3</v>
      </c>
      <c r="M26" s="35">
        <f t="shared" si="56"/>
        <v>110.73446327683615</v>
      </c>
      <c r="N26" s="230"/>
      <c r="O26" s="35" t="str">
        <f t="shared" si="44"/>
        <v/>
      </c>
      <c r="P26" s="38">
        <v>16</v>
      </c>
      <c r="Q26" s="35">
        <f t="shared" si="45"/>
        <v>50</v>
      </c>
      <c r="R26" s="36">
        <v>2.7268518518518522E-4</v>
      </c>
      <c r="S26" s="145">
        <f t="shared" si="46"/>
        <v>92.190152801358224</v>
      </c>
      <c r="T26" s="151">
        <f>Birling!B20</f>
        <v>0</v>
      </c>
      <c r="U26" s="198">
        <f>Birling!C20</f>
        <v>0</v>
      </c>
      <c r="V26" s="36">
        <v>5.4282407407407404E-4</v>
      </c>
      <c r="W26" s="35">
        <f t="shared" si="47"/>
        <v>110.87420042643924</v>
      </c>
      <c r="X26" s="38">
        <v>11</v>
      </c>
      <c r="Y26" s="35">
        <f t="shared" si="48"/>
        <v>50</v>
      </c>
      <c r="Z26" s="37">
        <v>1.6122685185185185E-4</v>
      </c>
      <c r="AA26" s="198">
        <f t="shared" si="49"/>
        <v>61.880832735104086</v>
      </c>
      <c r="AB26" s="235">
        <v>1.2893518518518519E-3</v>
      </c>
      <c r="AC26" s="35">
        <f t="shared" si="50"/>
        <v>36.651705565529625</v>
      </c>
      <c r="AD26" s="34">
        <v>6.8287037037037025E-4</v>
      </c>
      <c r="AE26" s="35">
        <f t="shared" si="51"/>
        <v>96.271186440677965</v>
      </c>
      <c r="AF26" s="36">
        <v>1.2152777777777778E-3</v>
      </c>
      <c r="AG26" s="35">
        <f t="shared" si="52"/>
        <v>74.095238095238102</v>
      </c>
      <c r="AH26" s="34">
        <v>1.689814814814815E-3</v>
      </c>
      <c r="AI26" s="35">
        <f t="shared" si="53"/>
        <v>67.397260273972606</v>
      </c>
      <c r="AJ26" s="36">
        <v>4.4907407407407405E-3</v>
      </c>
      <c r="AK26" s="35">
        <f t="shared" si="54"/>
        <v>72.164948453608247</v>
      </c>
      <c r="AL26" s="188">
        <v>3.630787037037037E-3</v>
      </c>
      <c r="AM26" s="35">
        <f t="shared" si="55"/>
        <v>103.06024864520242</v>
      </c>
      <c r="AN26" s="6"/>
      <c r="AO26" s="201" t="str">
        <f>A26</f>
        <v>Colby Alum</v>
      </c>
      <c r="AP26" s="29">
        <f t="shared" si="57"/>
        <v>1253.3003490623423</v>
      </c>
      <c r="AQ26" s="202">
        <f>RANK(AP26,$AP$25:$AP$28,0)</f>
        <v>2</v>
      </c>
      <c r="AR26" s="209">
        <v>2</v>
      </c>
      <c r="AS26" s="179" t="str">
        <f>INDEX($AO$25:AO28,MATCH(AR4,$AQ$25:$AQ$27,0))</f>
        <v>Colby Alum</v>
      </c>
      <c r="AT26" s="229">
        <f>INDEX($AP$25:$AP$27,MATCH(AS26,$AO$25:$AO$27,0))</f>
        <v>1253.3003490623423</v>
      </c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</row>
    <row r="27" spans="1:255" s="141" customFormat="1" ht="12" customHeight="1">
      <c r="A27" s="129" t="s">
        <v>47</v>
      </c>
      <c r="B27" s="133">
        <v>4.2187500000000003E-3</v>
      </c>
      <c r="C27" s="134">
        <f>IF(B27="DNF","DNF",IF(B27&gt;0,B$29/B27*100,""))</f>
        <v>84.362139917695472</v>
      </c>
      <c r="D27" s="133">
        <v>3.635416666666667E-3</v>
      </c>
      <c r="E27" s="134">
        <f t="shared" si="41"/>
        <v>80.865966252785725</v>
      </c>
      <c r="F27" s="133">
        <v>3.8958333333333332E-3</v>
      </c>
      <c r="G27" s="134">
        <f t="shared" si="42"/>
        <v>66.298276886512184</v>
      </c>
      <c r="H27" s="135">
        <v>2.6792824074074076E-3</v>
      </c>
      <c r="I27" s="134">
        <f t="shared" si="43"/>
        <v>57.764914251155552</v>
      </c>
      <c r="J27" s="135"/>
      <c r="K27" s="134" t="str">
        <f>IF(J27="DNF","DNF",IF(J27&gt;0,J$29/J27*100,""))</f>
        <v/>
      </c>
      <c r="L27" s="138">
        <v>1.5020833333333334E-3</v>
      </c>
      <c r="M27" s="134">
        <f t="shared" si="56"/>
        <v>83.063646170442283</v>
      </c>
      <c r="N27" s="136">
        <v>4.6327546296296299E-3</v>
      </c>
      <c r="O27" s="134">
        <f t="shared" si="44"/>
        <v>73.175606465635695</v>
      </c>
      <c r="P27" s="137">
        <v>24</v>
      </c>
      <c r="Q27" s="134">
        <f t="shared" si="45"/>
        <v>75</v>
      </c>
      <c r="R27" s="135">
        <v>3.3101851851851852E-4</v>
      </c>
      <c r="S27" s="146">
        <f t="shared" si="46"/>
        <v>75.944055944055947</v>
      </c>
      <c r="T27" s="149">
        <f>Birling!B21</f>
        <v>1.7</v>
      </c>
      <c r="U27" s="232">
        <f>Birling!C21</f>
        <v>18.888888888888889</v>
      </c>
      <c r="V27" s="135">
        <v>8.3796296296296299E-4</v>
      </c>
      <c r="W27" s="134">
        <f t="shared" si="47"/>
        <v>71.823204419889507</v>
      </c>
      <c r="X27" s="137">
        <v>7</v>
      </c>
      <c r="Y27" s="134">
        <f t="shared" si="48"/>
        <v>31.818181818181817</v>
      </c>
      <c r="Z27" s="136">
        <v>3.1736111111111109E-4</v>
      </c>
      <c r="AA27" s="233">
        <f t="shared" si="49"/>
        <v>31.436907366885485</v>
      </c>
      <c r="AB27" s="135">
        <v>1.3818287037037037E-3</v>
      </c>
      <c r="AC27" s="134">
        <f t="shared" si="50"/>
        <v>34.198844124298517</v>
      </c>
      <c r="AD27" s="133">
        <v>1.5081018518518518E-3</v>
      </c>
      <c r="AE27" s="134">
        <f t="shared" si="51"/>
        <v>43.591711435149648</v>
      </c>
      <c r="AF27" s="135">
        <v>1.5925925925925927E-3</v>
      </c>
      <c r="AG27" s="134">
        <f t="shared" si="52"/>
        <v>56.540697674418603</v>
      </c>
      <c r="AH27" s="133">
        <v>1.8807870370370369E-3</v>
      </c>
      <c r="AI27" s="134">
        <f t="shared" si="53"/>
        <v>60.553846153846159</v>
      </c>
      <c r="AJ27" s="135">
        <v>3.0451388888888889E-3</v>
      </c>
      <c r="AK27" s="134">
        <f t="shared" si="54"/>
        <v>106.42341315089318</v>
      </c>
      <c r="AL27" s="190">
        <v>4.5509259259259261E-3</v>
      </c>
      <c r="AM27" s="134">
        <f t="shared" si="55"/>
        <v>82.222787385554426</v>
      </c>
      <c r="AN27" s="139"/>
      <c r="AO27" s="201" t="str">
        <f>A27</f>
        <v>Dartmouth Alum B</v>
      </c>
      <c r="AP27" s="29">
        <f t="shared" si="57"/>
        <v>1133.9730883062894</v>
      </c>
      <c r="AQ27" s="202">
        <f>RANK(AP27,$AP$25:$AP$28,0)</f>
        <v>3</v>
      </c>
      <c r="AR27" s="228">
        <v>3</v>
      </c>
      <c r="AS27" s="9" t="str">
        <f>INDEX($AO$25:AO27,MATCH(AR5,$AQ$25:$AQ$27,0))</f>
        <v>Dartmouth Alum B</v>
      </c>
      <c r="AT27" s="32">
        <f>INDEX($AP$25:$AP$27,MATCH(AS27,$AO$25:$AO$27,0))</f>
        <v>1133.9730883062894</v>
      </c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  <c r="BU27" s="139"/>
      <c r="BV27" s="139"/>
      <c r="BW27" s="139"/>
      <c r="BX27" s="139"/>
      <c r="BY27" s="139"/>
      <c r="BZ27" s="139"/>
      <c r="CA27" s="139"/>
      <c r="CB27" s="139"/>
      <c r="CC27" s="139"/>
      <c r="CD27" s="139"/>
      <c r="CE27" s="139"/>
      <c r="CF27" s="139"/>
      <c r="CG27" s="139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A27" s="139"/>
      <c r="DB27" s="139"/>
      <c r="DC27" s="139"/>
      <c r="DD27" s="139"/>
      <c r="DE27" s="139"/>
      <c r="DF27" s="139"/>
      <c r="DG27" s="139"/>
      <c r="DH27" s="139"/>
      <c r="DI27" s="139"/>
      <c r="DJ27" s="139"/>
      <c r="DK27" s="139"/>
      <c r="DL27" s="139"/>
      <c r="DM27" s="139"/>
      <c r="DN27" s="139"/>
      <c r="DO27" s="139"/>
      <c r="DP27" s="139"/>
      <c r="DQ27" s="139"/>
      <c r="DR27" s="139"/>
      <c r="DS27" s="139"/>
      <c r="DT27" s="139"/>
      <c r="DU27" s="139"/>
      <c r="DV27" s="139"/>
      <c r="DW27" s="139"/>
      <c r="DX27" s="139"/>
      <c r="DY27" s="139"/>
      <c r="DZ27" s="139"/>
      <c r="EA27" s="139"/>
      <c r="EB27" s="139"/>
      <c r="EC27" s="139"/>
      <c r="ED27" s="139"/>
      <c r="EE27" s="139"/>
      <c r="EF27" s="139"/>
      <c r="EG27" s="139"/>
      <c r="EH27" s="139"/>
      <c r="EI27" s="139"/>
      <c r="EJ27" s="139"/>
      <c r="EK27" s="139"/>
      <c r="EL27" s="139"/>
      <c r="EM27" s="139"/>
      <c r="EN27" s="139"/>
      <c r="EO27" s="139"/>
      <c r="EP27" s="139"/>
      <c r="EQ27" s="139"/>
      <c r="ER27" s="139"/>
      <c r="ES27" s="139"/>
      <c r="ET27" s="139"/>
      <c r="EU27" s="139"/>
      <c r="EV27" s="139"/>
      <c r="EW27" s="139"/>
      <c r="EX27" s="139"/>
      <c r="EY27" s="139"/>
      <c r="EZ27" s="139"/>
      <c r="FA27" s="139"/>
      <c r="FB27" s="139"/>
      <c r="FC27" s="139"/>
      <c r="FD27" s="139"/>
      <c r="FE27" s="139"/>
      <c r="FF27" s="139"/>
      <c r="FG27" s="139"/>
      <c r="FH27" s="139"/>
      <c r="FI27" s="139"/>
      <c r="FJ27" s="139"/>
      <c r="FK27" s="139"/>
      <c r="FL27" s="139"/>
      <c r="FM27" s="139"/>
      <c r="FN27" s="139"/>
      <c r="FO27" s="139"/>
      <c r="FP27" s="139"/>
      <c r="FQ27" s="139"/>
      <c r="FR27" s="139"/>
      <c r="FS27" s="139"/>
      <c r="FT27" s="139"/>
      <c r="FU27" s="139"/>
      <c r="FV27" s="139"/>
      <c r="FW27" s="139"/>
      <c r="FX27" s="139"/>
      <c r="FY27" s="139"/>
      <c r="FZ27" s="139"/>
      <c r="GA27" s="139"/>
      <c r="GB27" s="139"/>
      <c r="GC27" s="139"/>
      <c r="GD27" s="139"/>
      <c r="GE27" s="139"/>
      <c r="GF27" s="139"/>
      <c r="GG27" s="139"/>
      <c r="GH27" s="139"/>
      <c r="GI27" s="139"/>
      <c r="GJ27" s="139"/>
      <c r="GK27" s="139"/>
      <c r="GL27" s="139"/>
      <c r="GM27" s="139"/>
      <c r="GN27" s="139"/>
      <c r="GO27" s="139"/>
      <c r="GP27" s="139"/>
      <c r="GQ27" s="139"/>
      <c r="GR27" s="139"/>
      <c r="GS27" s="139"/>
      <c r="GT27" s="139"/>
      <c r="GU27" s="139"/>
      <c r="GV27" s="139"/>
      <c r="GW27" s="139"/>
      <c r="GX27" s="139"/>
      <c r="GY27" s="139"/>
      <c r="GZ27" s="139"/>
      <c r="HA27" s="139"/>
      <c r="HB27" s="139"/>
      <c r="HC27" s="139"/>
      <c r="HD27" s="139"/>
      <c r="HE27" s="139"/>
      <c r="HF27" s="139"/>
      <c r="HG27" s="139"/>
      <c r="HH27" s="139"/>
      <c r="HI27" s="139"/>
      <c r="HJ27" s="139"/>
      <c r="HK27" s="139"/>
      <c r="HL27" s="139"/>
      <c r="HM27" s="139"/>
      <c r="HN27" s="139"/>
      <c r="HO27" s="139"/>
      <c r="HP27" s="139"/>
      <c r="HQ27" s="139"/>
      <c r="HR27" s="139"/>
      <c r="HS27" s="139"/>
      <c r="HT27" s="139"/>
      <c r="HU27" s="139"/>
      <c r="HV27" s="139"/>
      <c r="HW27" s="139"/>
      <c r="HX27" s="139"/>
      <c r="HY27" s="139"/>
      <c r="HZ27" s="139"/>
      <c r="IA27" s="139"/>
      <c r="IB27" s="139"/>
      <c r="IC27" s="139"/>
      <c r="ID27" s="139"/>
      <c r="IE27" s="139"/>
      <c r="IF27" s="139"/>
      <c r="IG27" s="139"/>
      <c r="IH27" s="139"/>
      <c r="II27" s="139"/>
      <c r="IJ27" s="139"/>
      <c r="IK27" s="139"/>
      <c r="IL27" s="139"/>
      <c r="IM27" s="139"/>
      <c r="IN27" s="139"/>
      <c r="IO27" s="139"/>
      <c r="IP27" s="139"/>
      <c r="IQ27" s="139"/>
      <c r="IR27" s="139"/>
      <c r="IS27" s="139"/>
      <c r="IT27" s="139"/>
      <c r="IU27" s="139"/>
    </row>
    <row r="28" spans="1:255" ht="12" customHeight="1" thickBot="1">
      <c r="A28" s="59"/>
      <c r="B28" s="34"/>
      <c r="C28" s="35" t="str">
        <f>IF(B28="DNF","DNF",IF(B28&gt;0,B$29/B28*100,""))</f>
        <v/>
      </c>
      <c r="D28" s="34"/>
      <c r="E28" s="35" t="str">
        <f>IF(D28="DNF","DNF",IF(D28&gt;0,D$29/D28*100,""))</f>
        <v/>
      </c>
      <c r="F28" s="34"/>
      <c r="G28" s="35" t="str">
        <f>IF(F28="DNF","DNF",IF(F28&gt;0,F$29/F28*100,""))</f>
        <v/>
      </c>
      <c r="H28" s="34"/>
      <c r="I28" s="35" t="str">
        <f>IF(H28="DNF","DNF",IF(H28&gt;0,H$29/H28*100,""))</f>
        <v/>
      </c>
      <c r="J28" s="34"/>
      <c r="K28" s="35" t="str">
        <f>IF(J28="DNF","DNF",IF(J28&gt;0,J$29/J28*100,""))</f>
        <v/>
      </c>
      <c r="L28" s="37"/>
      <c r="M28" s="35" t="str">
        <f>IF(L28="DNF","DNF",IF(L28&gt;0,L$29/L28*100,""))</f>
        <v/>
      </c>
      <c r="N28" s="263"/>
      <c r="O28" s="35" t="str">
        <f>IF(N28="DNF","DNF",IF(N28&gt;0,N$29/N28*100,""))</f>
        <v/>
      </c>
      <c r="P28" s="38"/>
      <c r="Q28" s="35" t="str">
        <f>IF(P28="DNF","DNF",IF(P28&lt;&gt;"",P28/P$29*100,""))</f>
        <v/>
      </c>
      <c r="R28" s="34"/>
      <c r="S28" s="35"/>
      <c r="T28" s="5"/>
      <c r="U28" s="35" t="str">
        <f>IF(T28="DNF","DNF",IF(T28&gt;0,T$29/T28*100,""))</f>
        <v/>
      </c>
      <c r="V28" s="34"/>
      <c r="W28" s="35" t="str">
        <f>IF(V28="DNF","DNF",IF(V28&gt;0,V$29/V28*100,""))</f>
        <v/>
      </c>
      <c r="X28" s="38"/>
      <c r="Y28" s="35" t="str">
        <f>IF(X28="DNF","DNF",IF(X28&lt;&gt;"",X28/X$29*100,""))</f>
        <v/>
      </c>
      <c r="Z28" s="37"/>
      <c r="AA28" s="198" t="str">
        <f>IF(Z28="DNF","DNF",IF(Z28&gt;0,Z$29/Z28*100,""))</f>
        <v/>
      </c>
      <c r="AB28" s="230"/>
      <c r="AC28" s="35" t="str">
        <f>IF(AB28="DNF","DNF",IF(AB28&gt;0,AB$29/AB28*100,""))</f>
        <v/>
      </c>
      <c r="AD28" s="34"/>
      <c r="AE28" s="35" t="str">
        <f>IF(AD28="DNF","DNF",IF(AD28&gt;0,AD$29/AD28*100,""))</f>
        <v/>
      </c>
      <c r="AF28" s="37"/>
      <c r="AG28" s="35" t="str">
        <f>IF(AF28="DNF","DNF",IF(AF28&gt;0,AF$29/AF28*100,""))</f>
        <v/>
      </c>
      <c r="AH28" s="34"/>
      <c r="AI28" s="35" t="str">
        <f>IF(AH28="DNF","DNF",IF(AH28&gt;0,AH$29/AH28*100,""))</f>
        <v/>
      </c>
      <c r="AJ28" s="37"/>
      <c r="AK28" s="35"/>
      <c r="AL28" s="191"/>
      <c r="AM28" s="35" t="str">
        <f t="shared" si="55"/>
        <v/>
      </c>
      <c r="AN28" s="6"/>
      <c r="AO28" s="60"/>
      <c r="AP28" s="208"/>
      <c r="AQ28" s="197"/>
      <c r="AR28" s="195"/>
      <c r="AS28" s="179"/>
      <c r="AT28" s="8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</row>
    <row r="29" spans="1:255" ht="12" customHeight="1" thickTop="1">
      <c r="A29" s="260" t="s">
        <v>27</v>
      </c>
      <c r="B29" s="23">
        <f>MIN(B3:B24)</f>
        <v>3.5590277777777777E-3</v>
      </c>
      <c r="C29" s="62"/>
      <c r="D29" s="23">
        <f>MIN(D3:D24)</f>
        <v>2.9398148148148148E-3</v>
      </c>
      <c r="E29" s="63"/>
      <c r="F29" s="23">
        <f>MIN(F3:F24)</f>
        <v>2.5828703703703704E-3</v>
      </c>
      <c r="G29" s="63"/>
      <c r="H29" s="23">
        <f>MIN(H3:H24)</f>
        <v>1.5476851851851851E-3</v>
      </c>
      <c r="I29" s="63"/>
      <c r="J29" s="23">
        <f>MIN(J3:J17)</f>
        <v>9.9120370370370378E-4</v>
      </c>
      <c r="K29" s="63"/>
      <c r="L29" s="23">
        <f>MIN(L3:L17)</f>
        <v>1.2476851851851852E-3</v>
      </c>
      <c r="M29" s="63"/>
      <c r="N29" s="120">
        <f>MIN(N3:N26)</f>
        <v>3.3900462962962968E-3</v>
      </c>
      <c r="O29" s="63"/>
      <c r="P29" s="26">
        <f>MAX(P3:P25)</f>
        <v>32</v>
      </c>
      <c r="Q29" s="62"/>
      <c r="R29" s="23">
        <f>MIN(R3:R17)</f>
        <v>2.5138888888888889E-4</v>
      </c>
      <c r="S29" s="63"/>
      <c r="T29" s="27">
        <f>MAX(U3:U22)</f>
        <v>100</v>
      </c>
      <c r="U29" s="63"/>
      <c r="V29" s="23">
        <f>MIN(V3:V24)</f>
        <v>6.018518518518519E-4</v>
      </c>
      <c r="W29" s="63"/>
      <c r="X29" s="26">
        <f>MAX(X3:X22)</f>
        <v>22</v>
      </c>
      <c r="Y29" s="62"/>
      <c r="Z29" s="174">
        <f>MIN(Z3:Z24)</f>
        <v>9.9768518518518511E-5</v>
      </c>
      <c r="AA29" s="244"/>
      <c r="AB29" s="120">
        <f>MIN(AB3:AB24)</f>
        <v>4.7256944444444446E-4</v>
      </c>
      <c r="AC29" s="63"/>
      <c r="AD29" s="23">
        <f>MIN(AD3:AD24)</f>
        <v>6.5740740740740733E-4</v>
      </c>
      <c r="AE29" s="63"/>
      <c r="AF29" s="23">
        <f>MIN(AF3:AF24)</f>
        <v>9.0046296296296304E-4</v>
      </c>
      <c r="AG29" s="63"/>
      <c r="AH29" s="23">
        <f>MIN(AH3:AH24)</f>
        <v>1.1388888888888889E-3</v>
      </c>
      <c r="AI29" s="63"/>
      <c r="AJ29" s="23">
        <f>MIN(AJ3:AJ24)</f>
        <v>3.2407407407407406E-3</v>
      </c>
      <c r="AK29" s="120"/>
      <c r="AL29" s="186">
        <f>MIN(AL3:AL24)</f>
        <v>3.7418981481481483E-3</v>
      </c>
      <c r="AM29" s="170"/>
      <c r="AN29" s="9"/>
      <c r="AO29" s="9"/>
      <c r="AP29" s="9"/>
      <c r="AQ29" s="9"/>
      <c r="AR29" s="53"/>
      <c r="AS29" s="9"/>
      <c r="AT29" s="32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</row>
    <row r="30" spans="1:255" ht="12" customHeight="1">
      <c r="A30" s="64" t="s">
        <v>28</v>
      </c>
      <c r="B30" s="1" t="str">
        <f t="array" ref="B30">INDEX($A$3:$A$24, MATCH(B31,B3:B24,0))</f>
        <v>Colby A</v>
      </c>
      <c r="C30" s="65"/>
      <c r="D30" s="1" t="str">
        <f t="array" ref="D30">INDEX($A$3:$A$24, MATCH(D31,D3:D24,0))</f>
        <v>Ranger J&amp;J</v>
      </c>
      <c r="E30" s="65"/>
      <c r="F30" s="1" t="str">
        <f t="array" ref="F30">INDEX($A$3:$A$24, MATCH(F31,F3:F24,0))</f>
        <v>UNH K</v>
      </c>
      <c r="G30" s="65"/>
      <c r="H30" s="1" t="str">
        <f t="array" ref="H30">INDEX($A$3:$A$24, MATCH(H31,H3:H24,0))</f>
        <v>Paul Smith's J&amp;J1</v>
      </c>
      <c r="I30" s="65"/>
      <c r="J30" s="1" t="str">
        <f t="array" ref="J30">INDEX($A$3:$A$24, MATCH(J31,J3:J24,0))</f>
        <v>UConn J&amp;J A</v>
      </c>
      <c r="K30" s="65"/>
      <c r="L30" s="1" t="str">
        <f t="array" ref="L30">INDEX($A$3:$A$24, MATCH(L31,L3:L24,0))</f>
        <v>UConn J&amp;J A</v>
      </c>
      <c r="M30" s="65"/>
      <c r="N30" s="181" t="str">
        <f>INDEX($A$3:$A$24, MATCH(N31,N3:N24,0))</f>
        <v>Paul Smith's J&amp;J1</v>
      </c>
      <c r="O30" s="65"/>
      <c r="P30" s="1" t="str">
        <f t="array" ref="P30">INDEX($A$3:$A$24, MATCH(P31,P3:P24,0))</f>
        <v>Colby A</v>
      </c>
      <c r="Q30" s="2"/>
      <c r="R30" s="1" t="str">
        <f t="array" ref="R30">INDEX($A$3:$A$24, MATCH(R31,R3:R24,0))</f>
        <v>Paul Smith's J&amp;J1</v>
      </c>
      <c r="S30" s="65"/>
      <c r="T30" s="1" t="str">
        <f t="array" ref="T30">INDEX($A$3:$A$24, MATCH(T31,U3:U24,0))</f>
        <v>Paul Smith's J&amp;J1</v>
      </c>
      <c r="U30" s="65"/>
      <c r="V30" s="1" t="str">
        <f t="array" ref="V30">INDEX($A$3:$A$24, MATCH(V31,V3:V24,0))</f>
        <v>Dartmouth A</v>
      </c>
      <c r="W30" s="65"/>
      <c r="X30" s="1" t="str">
        <f t="array" ref="X30">INDEX($A$3:$A$24, MATCH(X31,X3:X24,0))</f>
        <v>Paul Smith's J&amp;J2</v>
      </c>
      <c r="Y30" s="2"/>
      <c r="Z30" s="182" t="str">
        <f t="array" ref="Z30">INDEX($A$3:$A$24, MATCH(Z31,Z3:Z24,0))</f>
        <v>Colby A</v>
      </c>
      <c r="AA30" s="250"/>
      <c r="AB30" s="181" t="str">
        <f t="array" ref="AB30">INDEX($A$3:$A$24, MATCH(AB31,AB3:AB24,0))</f>
        <v>UConn J&amp;J A</v>
      </c>
      <c r="AC30" s="65"/>
      <c r="AD30" s="1" t="str">
        <f t="array" ref="AD30">INDEX($A$3:$A$24, MATCH(AD31,AD3:AD24,0))</f>
        <v>Paul Smith's J&amp;J1</v>
      </c>
      <c r="AE30" s="65"/>
      <c r="AF30" s="1" t="str">
        <f t="array" ref="AF30">INDEX($A$3:$A$24, MATCH(AF31,AF3:AF24,0))</f>
        <v>Paul Smith's J&amp;J1</v>
      </c>
      <c r="AG30" s="65"/>
      <c r="AH30" s="1" t="str">
        <f t="array" ref="AH30">INDEX($A$3:$A$24, MATCH(AH31,AH3:AH24,0))</f>
        <v>UConn J&amp;J A</v>
      </c>
      <c r="AI30" s="65"/>
      <c r="AJ30" s="1" t="str">
        <f t="array" ref="AJ30">INDEX($A$3:$A$24, MATCH(AJ31,AJ3:AJ24,0))</f>
        <v>Colby B</v>
      </c>
      <c r="AK30" s="175"/>
      <c r="AL30" s="173" t="str">
        <f>INDEX($A$3:$A$24, MATCH(AL31,AL3:AL24,0))</f>
        <v>Dartmouth A</v>
      </c>
      <c r="AM30" s="168"/>
      <c r="AN30" s="6"/>
      <c r="AO30" s="6"/>
      <c r="AP30" s="179"/>
      <c r="AQ30" s="179"/>
      <c r="AR30" s="195"/>
      <c r="AS30" s="179"/>
      <c r="AT30" s="8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</row>
    <row r="31" spans="1:255" ht="12" customHeight="1">
      <c r="A31" s="66" t="s">
        <v>29</v>
      </c>
      <c r="B31" s="14">
        <f>SMALL(B3:B24,1)</f>
        <v>3.5590277777777777E-3</v>
      </c>
      <c r="C31" s="67"/>
      <c r="D31" s="14">
        <f>SMALL(D3:D24,1)</f>
        <v>2.9398148148148148E-3</v>
      </c>
      <c r="E31" s="67"/>
      <c r="F31" s="14">
        <f>SMALL(F3:F24,1)</f>
        <v>2.5828703703703704E-3</v>
      </c>
      <c r="G31" s="67"/>
      <c r="H31" s="14">
        <f>SMALL(H3:H24,1)</f>
        <v>1.5476851851851851E-3</v>
      </c>
      <c r="I31" s="67"/>
      <c r="J31" s="14">
        <f>SMALL(J3:J24,1)</f>
        <v>9.9120370370370378E-4</v>
      </c>
      <c r="K31" s="67"/>
      <c r="L31" s="14">
        <f>SMALL(L3:L24,1)</f>
        <v>1.2476851851851852E-3</v>
      </c>
      <c r="M31" s="67"/>
      <c r="N31" s="180">
        <f>SMALL(N3:N24,1)</f>
        <v>3.3900462962962968E-3</v>
      </c>
      <c r="O31" s="67"/>
      <c r="P31" s="15">
        <f>LARGE(P3:P24,1)</f>
        <v>32</v>
      </c>
      <c r="Q31" s="68"/>
      <c r="R31" s="14">
        <f>SMALL(R3:R24,1)</f>
        <v>2.5138888888888889E-4</v>
      </c>
      <c r="S31" s="67"/>
      <c r="T31" s="11">
        <f>LARGE(U3:U24,1)</f>
        <v>100</v>
      </c>
      <c r="U31" s="67"/>
      <c r="V31" s="14">
        <f>SMALL(V3:V24,1)</f>
        <v>6.018518518518519E-4</v>
      </c>
      <c r="W31" s="67"/>
      <c r="X31" s="15">
        <f>LARGE(X3:X24,1)</f>
        <v>22</v>
      </c>
      <c r="Y31" s="68"/>
      <c r="Z31" s="184">
        <f>SMALL(Z3:Z24,1)</f>
        <v>9.9768518518518511E-5</v>
      </c>
      <c r="AA31" s="240"/>
      <c r="AB31" s="180">
        <f>SMALL(AB3:AB24,1)</f>
        <v>4.7256944444444446E-4</v>
      </c>
      <c r="AC31" s="67"/>
      <c r="AD31" s="14">
        <f>SMALL(AD3:AD24,1)</f>
        <v>6.5740740740740733E-4</v>
      </c>
      <c r="AE31" s="67"/>
      <c r="AF31" s="14">
        <f>SMALL(AF3:AF24,1)</f>
        <v>9.0046296296296304E-4</v>
      </c>
      <c r="AG31" s="67"/>
      <c r="AH31" s="14">
        <f>SMALL(AH3:AH24,1)</f>
        <v>1.1388888888888889E-3</v>
      </c>
      <c r="AI31" s="67"/>
      <c r="AJ31" s="14">
        <f>SMALL(AJ3:AJ24,1)</f>
        <v>3.2407407407407406E-3</v>
      </c>
      <c r="AK31" s="176"/>
      <c r="AL31" s="14">
        <f>SMALL(AL3:AL24,1)</f>
        <v>3.7418981481481483E-3</v>
      </c>
      <c r="AM31" s="169"/>
      <c r="AN31" s="6"/>
      <c r="AO31" s="6"/>
      <c r="AP31" s="179"/>
      <c r="AQ31" s="179"/>
      <c r="AR31" s="195"/>
      <c r="AS31" s="179"/>
      <c r="AT31" s="8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</row>
    <row r="32" spans="1:255" ht="12" customHeight="1">
      <c r="A32" s="69" t="s">
        <v>30</v>
      </c>
      <c r="B32" s="70" t="str">
        <f t="array" ref="B32">INDEX($A$3:$A$24, MATCH(B33,B3:B24,0))</f>
        <v>Ranger J&amp;J</v>
      </c>
      <c r="C32" s="71"/>
      <c r="D32" s="70" t="str">
        <f t="array" ref="D32">INDEX($A$3:$A$24, MATCH(D33,D3:D24,0))</f>
        <v>Colby B</v>
      </c>
      <c r="E32" s="71"/>
      <c r="F32" s="70" t="str">
        <f t="array" ref="F32">INDEX($A$3:$A$24, MATCH(F33,F3:F24,0))</f>
        <v>Paul Smith's J&amp;J1</v>
      </c>
      <c r="G32" s="71"/>
      <c r="H32" s="70" t="str">
        <f t="array" ref="H32">INDEX($A$3:$A$24, MATCH(H33,H3:H24,0))</f>
        <v>Paul Smith's J&amp;J2</v>
      </c>
      <c r="I32" s="71"/>
      <c r="J32" s="70" t="str">
        <f t="array" ref="J32">INDEX($A$3:$A$24, MATCH(J33,J3:J24,0))</f>
        <v>Paul Smith's J&amp;J2</v>
      </c>
      <c r="K32" s="71"/>
      <c r="L32" s="70" t="str">
        <f t="array" ref="L32">INDEX($A$3:$A$24, MATCH(L33,L3:L24,0))</f>
        <v>Paul Smith's J&amp;J2</v>
      </c>
      <c r="M32" s="71"/>
      <c r="N32" s="119" t="str">
        <f t="array" ref="N32">INDEX($A$3:$A$24, MATCH(N33,N3:N24,0))</f>
        <v>Ranger J&amp;J</v>
      </c>
      <c r="O32" s="71"/>
      <c r="P32" s="70" t="s">
        <v>34</v>
      </c>
      <c r="Q32" s="72"/>
      <c r="R32" s="70" t="str">
        <f t="array" ref="R32">INDEX($A$3:$A$24, MATCH(R33,R3:R24,0))</f>
        <v>Colby A</v>
      </c>
      <c r="S32" s="71"/>
      <c r="T32" s="70" t="str">
        <f t="array" ref="T32">INDEX($A$3:$A$24, MATCH(T33,U3:U24,0))</f>
        <v>Ranger J&amp;J</v>
      </c>
      <c r="U32" s="71"/>
      <c r="V32" s="70" t="str">
        <f t="array" ref="V32">INDEX($A$3:$A$24, MATCH(V33,V3:V24,0))</f>
        <v>Colby B</v>
      </c>
      <c r="W32" s="71"/>
      <c r="X32" s="70" t="str">
        <f>INDEX( $A$3:$A$24, MATCH(X33,X3:X24,0))</f>
        <v>UConn J&amp;J B</v>
      </c>
      <c r="Y32" s="72"/>
      <c r="Z32" s="183" t="str">
        <f t="array" ref="Z32">INDEX($A$3:$A$24, MATCH(Z33,Z3:Z24,0))</f>
        <v>UNH K</v>
      </c>
      <c r="AA32" s="251"/>
      <c r="AB32" s="119" t="str">
        <f t="array" ref="AB32">INDEX($A$3:$A$24, MATCH(AB33,AB3:AB24,0))</f>
        <v>Paul Smith's J&amp;J1</v>
      </c>
      <c r="AC32" s="71"/>
      <c r="AD32" s="70" t="str">
        <f t="array" ref="AD32">INDEX($A$3:$A$24, MATCH(AD33,AD3:AD24,0))</f>
        <v>Colby A</v>
      </c>
      <c r="AE32" s="71"/>
      <c r="AF32" s="70" t="str">
        <f t="array" ref="AF32">INDEX($A$3:$A$24, MATCH(AF33,AF3:AF24,0))</f>
        <v>Paul Smith's J&amp;J2</v>
      </c>
      <c r="AG32" s="71"/>
      <c r="AH32" s="70" t="str">
        <f t="array" ref="AH32">INDEX($A$3:$A$24, MATCH(AH33,AH3:AH24,0))</f>
        <v>Paul Smith's J&amp;J1</v>
      </c>
      <c r="AI32" s="71"/>
      <c r="AJ32" s="70" t="str">
        <f t="array" ref="AJ32">INDEX($A$3:$A$24, MATCH(AJ33,AJ3:AJ24,0))</f>
        <v>Paul Smith's J&amp;J1</v>
      </c>
      <c r="AK32" s="177"/>
      <c r="AL32" s="70" t="str">
        <f>INDEX($A$3:$A$24, MATCH(AL33,AL3:AL24,0))</f>
        <v>Paul Smith's J&amp;J1</v>
      </c>
      <c r="AM32" s="171"/>
      <c r="AN32" s="9"/>
      <c r="AO32" s="9"/>
      <c r="AP32" s="9"/>
      <c r="AQ32" s="9"/>
      <c r="AR32" s="73"/>
      <c r="AS32" s="9"/>
      <c r="AT32" s="32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</row>
    <row r="33" spans="1:257" ht="12" customHeight="1">
      <c r="A33" s="74" t="s">
        <v>29</v>
      </c>
      <c r="B33" s="75">
        <f>SMALL(B3:B24,2)</f>
        <v>4.2835648148148147E-3</v>
      </c>
      <c r="C33" s="76"/>
      <c r="D33" s="75">
        <f>SMALL(D3:D24,2)</f>
        <v>3.0949074074074078E-3</v>
      </c>
      <c r="E33" s="76"/>
      <c r="F33" s="75">
        <f>SMALL(F3:F24,2)</f>
        <v>2.6921296296296298E-3</v>
      </c>
      <c r="G33" s="76"/>
      <c r="H33" s="75">
        <f>SMALL(H3:H24,2)</f>
        <v>1.6979166666666664E-3</v>
      </c>
      <c r="I33" s="76"/>
      <c r="J33" s="75">
        <f>SMALL(J3:J24,2)</f>
        <v>1.1252893518518519E-3</v>
      </c>
      <c r="K33" s="76"/>
      <c r="L33" s="75">
        <f>SMALL(L3:L24,2)</f>
        <v>1.4175925925925925E-3</v>
      </c>
      <c r="M33" s="76"/>
      <c r="N33" s="91">
        <f>SMALL(N3:N24,2)</f>
        <v>3.4872685185185185E-3</v>
      </c>
      <c r="O33" s="76"/>
      <c r="P33" s="77">
        <f>LARGE(P3:P24,2)</f>
        <v>25</v>
      </c>
      <c r="Q33" s="78"/>
      <c r="R33" s="75">
        <f>SMALL(R3:R24,2)</f>
        <v>2.5636574074074071E-4</v>
      </c>
      <c r="S33" s="76"/>
      <c r="T33" s="79">
        <f>LARGE(U3:U24,2)</f>
        <v>90</v>
      </c>
      <c r="U33" s="76"/>
      <c r="V33" s="75">
        <f>SMALL(V3:V24,2)</f>
        <v>6.7592592592592585E-4</v>
      </c>
      <c r="W33" s="76"/>
      <c r="X33" s="77">
        <f>LARGE(X3:X24,2)</f>
        <v>20</v>
      </c>
      <c r="Y33" s="78"/>
      <c r="Z33" s="185">
        <f>SMALL(Z3:Z24,2)</f>
        <v>1.0983796296296296E-4</v>
      </c>
      <c r="AA33" s="249"/>
      <c r="AB33" s="91">
        <f>SMALL(AB3:AB24,2)</f>
        <v>6.4733796296296295E-4</v>
      </c>
      <c r="AC33" s="76"/>
      <c r="AD33" s="75">
        <f>SMALL(AD3:AD24,2)</f>
        <v>6.6087962962962964E-4</v>
      </c>
      <c r="AE33" s="76"/>
      <c r="AF33" s="75">
        <f>SMALL(AF3:AF24,2)</f>
        <v>9.6064814814814808E-4</v>
      </c>
      <c r="AG33" s="76"/>
      <c r="AH33" s="75">
        <f>SMALL(AH3:AH24,2)</f>
        <v>1.3912037037037037E-3</v>
      </c>
      <c r="AI33" s="76"/>
      <c r="AJ33" s="75">
        <f>SMALL(AJ3:AJ24,2)</f>
        <v>3.6168981481481482E-3</v>
      </c>
      <c r="AK33" s="178"/>
      <c r="AL33" s="75">
        <f>SMALL(AL3:AL24,2)</f>
        <v>3.7939814814814811E-3</v>
      </c>
      <c r="AM33" s="172"/>
      <c r="AN33" s="9"/>
      <c r="AO33" s="9"/>
      <c r="AP33" s="9"/>
      <c r="AQ33" s="9"/>
      <c r="AR33" s="73"/>
      <c r="AS33" s="9"/>
      <c r="AT33" s="32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</row>
    <row r="34" spans="1:257" ht="12" customHeight="1">
      <c r="A34" s="64" t="s">
        <v>31</v>
      </c>
      <c r="B34" s="1" t="str">
        <f t="array" ref="B34">INDEX($A$3:$A$24, MATCH(B35,B3:B24,0))</f>
        <v>Colby B</v>
      </c>
      <c r="C34" s="65"/>
      <c r="D34" s="1" t="str">
        <f t="array" ref="D34">INDEX($A$3:$A$24, MATCH(D35,D3:D24,0))</f>
        <v>UNH K</v>
      </c>
      <c r="E34" s="65"/>
      <c r="F34" s="1" t="str">
        <f t="array" ref="F34">INDEX($A$3:$A$24, MATCH(F35,F3:F24,0))</f>
        <v>Colby B</v>
      </c>
      <c r="G34" s="65"/>
      <c r="H34" s="1" t="str">
        <f t="array" ref="H34">INDEX($A$3:$A$24, MATCH(H35,H3:H24,0))</f>
        <v>Colby A</v>
      </c>
      <c r="I34" s="65"/>
      <c r="J34" s="1" t="str">
        <f t="array" ref="J34">INDEX($A$3:$A$24, MATCH(J35,J3:J24,0))</f>
        <v>Paul Smith's J&amp;J1</v>
      </c>
      <c r="K34" s="65"/>
      <c r="L34" s="1" t="str">
        <f t="array" ref="L34">INDEX($A$3:$A$24, MATCH(L35,L3:L24,0))</f>
        <v>UConn J&amp;J B</v>
      </c>
      <c r="M34" s="65"/>
      <c r="N34" s="181" t="str">
        <f t="array" ref="N34">INDEX($A$3:$A$24, MATCH(N35,N3:N24,0))</f>
        <v>Colby A</v>
      </c>
      <c r="O34" s="65"/>
      <c r="P34" s="1" t="str">
        <f>INDEX( $A$3:$A$24, MATCH(P35,P3:P24,0))</f>
        <v>Ranger J&amp;J</v>
      </c>
      <c r="Q34" s="2"/>
      <c r="R34" s="1" t="str">
        <f t="array" ref="R34">INDEX($A$3:$A$24, MATCH(R35,R3:R24,0))</f>
        <v>UNH J</v>
      </c>
      <c r="S34" s="65"/>
      <c r="T34" s="1" t="str">
        <f t="array" ref="T34">INDEX($A$3:$A$24, MATCH(T35,U3:U24,0))</f>
        <v>UNH K</v>
      </c>
      <c r="U34" s="65"/>
      <c r="V34" s="1" t="str">
        <f t="array" ref="V34">INDEX($A$3:$A$24, MATCH(V35,V3:V24,0))</f>
        <v>Colby A</v>
      </c>
      <c r="W34" s="65"/>
      <c r="X34" s="1" t="str">
        <f>INDEX($A$3:$A$24, MATCH(X35,X3:X24,0))</f>
        <v>UConn J&amp;J A</v>
      </c>
      <c r="Y34" s="2"/>
      <c r="Z34" s="182" t="str">
        <f t="array" ref="Z34">INDEX($A$3:$A$24, MATCH(Z35,Z3:Z24,0))</f>
        <v>Ranger J&amp;J</v>
      </c>
      <c r="AA34" s="250"/>
      <c r="AB34" s="181" t="str">
        <f t="array" ref="AB34">INDEX($A$3:$A$24, MATCH(AB35,AB3:AB24,0))</f>
        <v>Colby A</v>
      </c>
      <c r="AC34" s="65"/>
      <c r="AD34" s="1" t="str">
        <f t="array" ref="AD34">INDEX($A$3:$A$24, MATCH(AD35,AD3:AD24,0))</f>
        <v>Paul Smith's J&amp;J2</v>
      </c>
      <c r="AE34" s="65"/>
      <c r="AF34" s="1" t="str">
        <f t="array" ref="AF34">INDEX($A$3:$A$24, MATCH(AF35,AF3:AF24,0))</f>
        <v>UConn J&amp;J A</v>
      </c>
      <c r="AG34" s="65"/>
      <c r="AH34" s="1" t="str">
        <f t="array" ref="AH34">INDEX($A$3:$A$24, MATCH(AH35,AH3:AH24,0))</f>
        <v>Colby A</v>
      </c>
      <c r="AI34" s="65"/>
      <c r="AJ34" s="1" t="str">
        <f t="array" ref="AJ34">INDEX($A$3:$A$24, MATCH(AJ35,AJ3:AJ24,0))</f>
        <v>Paul Smith's J&amp;J2</v>
      </c>
      <c r="AK34" s="175"/>
      <c r="AL34" s="1" t="str">
        <f>INDEX($A$3:$A$24, MATCH(AL35,AL3:AL24,0))</f>
        <v>Colby A</v>
      </c>
      <c r="AM34" s="168"/>
      <c r="AN34" s="6"/>
      <c r="AO34" s="6"/>
      <c r="AP34" s="179"/>
      <c r="AQ34" s="179"/>
      <c r="AR34" s="196"/>
      <c r="AS34" s="179"/>
      <c r="AT34" s="8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</row>
    <row r="35" spans="1:257" ht="12" customHeight="1">
      <c r="A35" s="66" t="s">
        <v>29</v>
      </c>
      <c r="B35" s="14">
        <f>SMALL(B3:B24,3)</f>
        <v>4.3738425925925924E-3</v>
      </c>
      <c r="C35" s="67"/>
      <c r="D35" s="14">
        <f>SMALL(D3:D24,3)</f>
        <v>3.3333333333333335E-3</v>
      </c>
      <c r="E35" s="67"/>
      <c r="F35" s="14">
        <f>SMALL(F3:F24,3)</f>
        <v>2.9245370370370367E-3</v>
      </c>
      <c r="G35" s="67"/>
      <c r="H35" s="14">
        <f>SMALL(H3:H24,3)</f>
        <v>1.7747685185185186E-3</v>
      </c>
      <c r="I35" s="67"/>
      <c r="J35" s="14">
        <f>SMALL(J3:J24,3)</f>
        <v>1.5659722222222221E-3</v>
      </c>
      <c r="K35" s="67"/>
      <c r="L35" s="14">
        <f>SMALL(L3:L24,3)</f>
        <v>1.4699074074074074E-3</v>
      </c>
      <c r="M35" s="67"/>
      <c r="N35" s="180">
        <f>SMALL(N3:N24,3)</f>
        <v>3.5324074074074077E-3</v>
      </c>
      <c r="O35" s="67"/>
      <c r="P35" s="15">
        <f>LARGE(P3:P24,3)</f>
        <v>24</v>
      </c>
      <c r="Q35" s="68"/>
      <c r="R35" s="14">
        <f>SMALL(R3:R24,3)</f>
        <v>2.7395833333333336E-4</v>
      </c>
      <c r="S35" s="67"/>
      <c r="T35" s="11">
        <f>LARGE(U3:U24,3)</f>
        <v>85</v>
      </c>
      <c r="U35" s="67"/>
      <c r="V35" s="14">
        <f>SMALL(V3:V24,3)</f>
        <v>6.7708333333333336E-4</v>
      </c>
      <c r="W35" s="67"/>
      <c r="X35" s="15">
        <f>LARGE(X3:X24,3)</f>
        <v>17</v>
      </c>
      <c r="Y35" s="68"/>
      <c r="Z35" s="184">
        <f>SMALL(Z3:Z24,3)</f>
        <v>1.1712962962962963E-4</v>
      </c>
      <c r="AA35" s="240"/>
      <c r="AB35" s="180">
        <f>SMALL(AB3:AB24,3)</f>
        <v>6.6458333333333343E-4</v>
      </c>
      <c r="AC35" s="67"/>
      <c r="AD35" s="14">
        <f>SMALL(AD3:AD24,3)</f>
        <v>6.8055555555555545E-4</v>
      </c>
      <c r="AE35" s="67"/>
      <c r="AF35" s="14">
        <f>SMALL(AF3:AF24,3)</f>
        <v>1.0590277777777777E-3</v>
      </c>
      <c r="AG35" s="67"/>
      <c r="AH35" s="14">
        <f>SMALL(AH3:AH24,3)</f>
        <v>1.7824074074074072E-3</v>
      </c>
      <c r="AI35" s="67"/>
      <c r="AJ35" s="14">
        <f>SMALL(AJ3:AJ24,3)</f>
        <v>3.7893518518518523E-3</v>
      </c>
      <c r="AK35" s="176"/>
      <c r="AL35" s="14">
        <f>SMALL(AL3:AL24,3)</f>
        <v>4.0740740740740746E-3</v>
      </c>
      <c r="AM35" s="169"/>
      <c r="AN35" s="6"/>
      <c r="AO35" s="6"/>
      <c r="AP35" s="179"/>
      <c r="AQ35" s="179"/>
      <c r="AR35" s="196"/>
      <c r="AS35" s="179"/>
      <c r="AT35" s="8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</row>
    <row r="36" spans="1:257" ht="12" customHeight="1">
      <c r="A36" s="80"/>
      <c r="B36" s="46"/>
      <c r="C36" s="81"/>
      <c r="D36" s="46"/>
      <c r="E36" s="81"/>
      <c r="F36" s="46"/>
      <c r="G36" s="81"/>
      <c r="H36" s="46"/>
      <c r="I36" s="81"/>
      <c r="J36" s="46"/>
      <c r="K36" s="81"/>
      <c r="L36" s="81"/>
      <c r="M36" s="81"/>
      <c r="N36" s="46"/>
      <c r="O36" s="81"/>
      <c r="P36" s="52"/>
      <c r="Q36" s="82"/>
      <c r="R36" s="46" t="s">
        <v>74</v>
      </c>
      <c r="S36" s="82"/>
      <c r="T36" s="46"/>
      <c r="U36" s="81"/>
      <c r="V36" s="9"/>
      <c r="W36" s="81"/>
      <c r="X36" s="46"/>
      <c r="Y36" s="81"/>
      <c r="Z36" s="52"/>
      <c r="AA36" s="241"/>
      <c r="AB36" s="46"/>
      <c r="AC36" s="81"/>
      <c r="AD36" s="46"/>
      <c r="AE36" s="81"/>
      <c r="AF36" s="46"/>
      <c r="AG36" s="81"/>
      <c r="AH36" s="46" t="s">
        <v>73</v>
      </c>
      <c r="AI36" s="81"/>
      <c r="AJ36" s="272" t="s">
        <v>68</v>
      </c>
      <c r="AK36" s="81"/>
      <c r="AL36" s="272" t="s">
        <v>70</v>
      </c>
      <c r="AM36" s="81"/>
      <c r="AN36" s="81"/>
      <c r="AO36" s="81"/>
      <c r="AP36" s="9"/>
      <c r="AQ36" s="9"/>
      <c r="AR36" s="82"/>
      <c r="AS36" s="83"/>
      <c r="AT36" s="73"/>
      <c r="AU36" s="9"/>
      <c r="AV36" s="32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</row>
    <row r="37" spans="1:257" ht="12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272" t="s">
        <v>69</v>
      </c>
      <c r="AK37" s="9"/>
      <c r="AL37" s="166" t="s">
        <v>71</v>
      </c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</row>
    <row r="38" spans="1:257" ht="12" customHeight="1">
      <c r="A38" s="166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166" t="s">
        <v>72</v>
      </c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</row>
    <row r="39" spans="1:257" ht="12" customHeight="1">
      <c r="A39" s="252"/>
      <c r="B39" s="9"/>
      <c r="C39" s="82"/>
      <c r="D39" s="9"/>
      <c r="E39" s="82"/>
      <c r="F39" s="9"/>
      <c r="G39" s="82"/>
      <c r="H39" s="9"/>
      <c r="I39" s="82"/>
      <c r="J39" s="9"/>
      <c r="K39" s="82"/>
      <c r="L39" s="82"/>
      <c r="M39" s="82"/>
      <c r="N39" s="84"/>
      <c r="O39" s="82"/>
      <c r="P39" s="9"/>
      <c r="Q39" s="82"/>
      <c r="R39" s="9"/>
      <c r="S39" s="82"/>
      <c r="T39" s="46"/>
      <c r="U39" s="82"/>
      <c r="V39" s="9"/>
      <c r="W39" s="82"/>
      <c r="X39" s="9"/>
      <c r="Y39" s="82"/>
      <c r="Z39" s="52"/>
      <c r="AA39" s="82"/>
      <c r="AB39" s="46"/>
      <c r="AC39" s="82"/>
      <c r="AD39" s="84"/>
      <c r="AE39" s="82"/>
      <c r="AF39" s="46"/>
      <c r="AG39" s="82"/>
      <c r="AH39" s="46"/>
      <c r="AI39" s="82"/>
      <c r="AJ39" s="46"/>
      <c r="AK39" s="82"/>
      <c r="AL39" s="9"/>
      <c r="AM39" s="82"/>
      <c r="AN39" s="82"/>
      <c r="AO39" s="82"/>
      <c r="AP39" s="9"/>
      <c r="AQ39" s="9"/>
      <c r="AR39" s="82"/>
      <c r="AS39" s="83"/>
      <c r="AT39" s="73"/>
      <c r="AU39" s="9"/>
      <c r="AV39" s="32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</row>
    <row r="40" spans="1:257" ht="12" customHeight="1">
      <c r="A40" s="166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</row>
    <row r="41" spans="1:257" ht="12" customHeight="1">
      <c r="A41" s="166"/>
      <c r="B41" s="9"/>
      <c r="C41" s="82"/>
      <c r="D41" s="9"/>
      <c r="E41" s="82"/>
      <c r="F41" s="166"/>
      <c r="G41" s="82"/>
      <c r="H41" s="9"/>
      <c r="I41" s="82"/>
      <c r="J41" s="9"/>
      <c r="K41" s="82"/>
      <c r="L41" s="82"/>
      <c r="M41" s="82"/>
      <c r="N41" s="84"/>
      <c r="O41" s="82"/>
      <c r="P41" s="9"/>
      <c r="Q41" s="82"/>
      <c r="R41" s="9"/>
      <c r="S41" s="82"/>
      <c r="T41" s="46"/>
      <c r="U41" s="82"/>
      <c r="V41" s="9"/>
      <c r="W41" s="82"/>
      <c r="X41" s="9"/>
      <c r="Y41" s="82"/>
      <c r="Z41" s="52"/>
      <c r="AA41" s="82"/>
      <c r="AB41" s="46"/>
      <c r="AC41" s="82"/>
      <c r="AD41" s="84"/>
      <c r="AE41" s="82"/>
      <c r="AF41" s="46"/>
      <c r="AG41" s="82"/>
      <c r="AH41" s="46"/>
      <c r="AI41" s="82"/>
      <c r="AJ41" s="46"/>
      <c r="AK41" s="82"/>
      <c r="AL41" s="9"/>
      <c r="AM41" s="82"/>
      <c r="AN41" s="82"/>
      <c r="AO41" s="82"/>
      <c r="AP41" s="9"/>
      <c r="AQ41" s="9"/>
      <c r="AR41" s="82"/>
      <c r="AS41" s="83"/>
      <c r="AT41" s="73"/>
      <c r="AU41" s="9"/>
      <c r="AV41" s="32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</row>
    <row r="42" spans="1:257" ht="12" customHeight="1">
      <c r="A42" s="166"/>
      <c r="B42" s="9"/>
      <c r="C42" s="9"/>
      <c r="D42" s="9"/>
      <c r="E42" s="9"/>
      <c r="F42" s="166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</row>
    <row r="43" spans="1:257" ht="12" customHeight="1">
      <c r="A43" s="166"/>
      <c r="B43" s="9"/>
      <c r="C43" s="82"/>
      <c r="D43" s="9"/>
      <c r="E43" s="82"/>
      <c r="F43" s="166"/>
      <c r="G43" s="82"/>
      <c r="H43" s="9"/>
      <c r="I43" s="82"/>
      <c r="J43" s="9"/>
      <c r="K43" s="82"/>
      <c r="L43" s="82"/>
      <c r="M43" s="82"/>
      <c r="N43" s="84"/>
      <c r="O43" s="82"/>
      <c r="P43" s="9"/>
      <c r="Q43" s="82"/>
      <c r="R43" s="9"/>
      <c r="S43" s="82"/>
      <c r="T43" s="46"/>
      <c r="U43" s="82"/>
      <c r="V43" s="9"/>
      <c r="W43" s="82"/>
      <c r="X43" s="9"/>
      <c r="Y43" s="82"/>
      <c r="Z43" s="52"/>
      <c r="AA43" s="82"/>
      <c r="AB43" s="46"/>
      <c r="AC43" s="82"/>
      <c r="AD43" s="84"/>
      <c r="AE43" s="82"/>
      <c r="AF43" s="46"/>
      <c r="AG43" s="82"/>
      <c r="AH43" s="46"/>
      <c r="AI43" s="82"/>
      <c r="AJ43" s="46"/>
      <c r="AK43" s="82"/>
      <c r="AL43" s="9"/>
      <c r="AM43" s="82"/>
      <c r="AN43" s="82"/>
      <c r="AO43" s="82"/>
      <c r="AP43" s="9"/>
      <c r="AQ43" s="9"/>
      <c r="AR43" s="82"/>
      <c r="AS43" s="83"/>
      <c r="AT43" s="73"/>
      <c r="AU43" s="9"/>
      <c r="AV43" s="32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</row>
    <row r="44" spans="1:257" ht="12" customHeight="1">
      <c r="A44" s="166"/>
      <c r="B44" s="9"/>
      <c r="C44" s="9"/>
      <c r="D44" s="9"/>
      <c r="E44" s="9"/>
      <c r="F44" s="166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</row>
    <row r="45" spans="1:257" ht="12" customHeight="1">
      <c r="A45" s="9"/>
      <c r="B45" s="9"/>
      <c r="C45" s="82"/>
      <c r="D45" s="9"/>
      <c r="E45" s="82"/>
      <c r="F45" s="9"/>
      <c r="G45" s="82"/>
      <c r="H45" s="9"/>
      <c r="I45" s="82"/>
      <c r="J45" s="9"/>
      <c r="K45" s="82"/>
      <c r="L45" s="82"/>
      <c r="M45" s="82"/>
      <c r="N45" s="84"/>
      <c r="O45" s="82"/>
      <c r="P45" s="9"/>
      <c r="Q45" s="82"/>
      <c r="R45" s="9"/>
      <c r="S45" s="82"/>
      <c r="T45" s="46"/>
      <c r="U45" s="82"/>
      <c r="V45" s="9"/>
      <c r="W45" s="82"/>
      <c r="X45" s="9"/>
      <c r="Y45" s="82"/>
      <c r="Z45" s="52"/>
      <c r="AA45" s="82"/>
      <c r="AB45" s="46"/>
      <c r="AC45" s="82"/>
      <c r="AD45" s="84"/>
      <c r="AE45" s="82"/>
      <c r="AF45" s="46"/>
      <c r="AG45" s="82"/>
      <c r="AH45" s="46"/>
      <c r="AI45" s="82"/>
      <c r="AJ45" s="46"/>
      <c r="AK45" s="82"/>
      <c r="AL45" s="9"/>
      <c r="AM45" s="82"/>
      <c r="AN45" s="82"/>
      <c r="AO45" s="82"/>
      <c r="AP45" s="9"/>
      <c r="AQ45" s="9"/>
      <c r="AR45" s="82"/>
      <c r="AS45" s="83"/>
      <c r="AT45" s="73"/>
      <c r="AU45" s="9"/>
      <c r="AV45" s="32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</row>
    <row r="46" spans="1:257" ht="12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</row>
    <row r="47" spans="1:257" ht="12" customHeight="1">
      <c r="A47" s="9"/>
      <c r="B47" s="9"/>
      <c r="C47" s="82"/>
      <c r="D47" s="9"/>
      <c r="E47" s="82"/>
      <c r="F47" s="9"/>
      <c r="G47" s="82"/>
      <c r="H47" s="9"/>
      <c r="I47" s="82"/>
      <c r="J47" s="9"/>
      <c r="K47" s="82"/>
      <c r="L47" s="82"/>
      <c r="M47" s="82"/>
      <c r="N47" s="84"/>
      <c r="O47" s="82"/>
      <c r="P47" s="9"/>
      <c r="Q47" s="82"/>
      <c r="R47" s="9"/>
      <c r="S47" s="82"/>
      <c r="T47" s="46"/>
      <c r="U47" s="82"/>
      <c r="V47" s="9"/>
      <c r="W47" s="82"/>
      <c r="X47" s="9"/>
      <c r="Y47" s="82"/>
      <c r="Z47" s="52"/>
      <c r="AA47" s="82"/>
      <c r="AB47" s="46"/>
      <c r="AC47" s="82"/>
      <c r="AD47" s="84"/>
      <c r="AE47" s="82"/>
      <c r="AF47" s="46"/>
      <c r="AG47" s="82"/>
      <c r="AH47" s="46"/>
      <c r="AI47" s="82"/>
      <c r="AJ47" s="46"/>
      <c r="AK47" s="82"/>
      <c r="AL47" s="9"/>
      <c r="AM47" s="82"/>
      <c r="AN47" s="82"/>
      <c r="AO47" s="82"/>
      <c r="AP47" s="9"/>
      <c r="AQ47" s="9"/>
      <c r="AR47" s="82"/>
      <c r="AS47" s="83"/>
      <c r="AT47" s="73"/>
      <c r="AU47" s="9"/>
      <c r="AV47" s="32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</row>
    <row r="48" spans="1:257" ht="12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  <c r="IW48" s="9"/>
    </row>
    <row r="49" spans="1:257" ht="12" customHeight="1">
      <c r="A49" s="9"/>
      <c r="B49" s="9"/>
      <c r="C49" s="82"/>
      <c r="D49" s="9"/>
      <c r="E49" s="82"/>
      <c r="F49" s="9"/>
      <c r="G49" s="82"/>
      <c r="H49" s="9"/>
      <c r="I49" s="82"/>
      <c r="J49" s="9"/>
      <c r="K49" s="82"/>
      <c r="L49" s="82"/>
      <c r="M49" s="82"/>
      <c r="N49" s="84"/>
      <c r="O49" s="82"/>
      <c r="P49" s="9"/>
      <c r="Q49" s="82"/>
      <c r="R49" s="9"/>
      <c r="S49" s="82"/>
      <c r="T49" s="46"/>
      <c r="U49" s="82"/>
      <c r="V49" s="9"/>
      <c r="W49" s="82"/>
      <c r="X49" s="9"/>
      <c r="Y49" s="82"/>
      <c r="Z49" s="52"/>
      <c r="AA49" s="82"/>
      <c r="AB49" s="46"/>
      <c r="AC49" s="82"/>
      <c r="AD49" s="84"/>
      <c r="AE49" s="82"/>
      <c r="AF49" s="46"/>
      <c r="AG49" s="82"/>
      <c r="AH49" s="46"/>
      <c r="AI49" s="82"/>
      <c r="AJ49" s="46"/>
      <c r="AK49" s="82"/>
      <c r="AL49" s="9"/>
      <c r="AM49" s="82"/>
      <c r="AN49" s="82"/>
      <c r="AO49" s="82"/>
      <c r="AP49" s="9"/>
      <c r="AQ49" s="9"/>
      <c r="AR49" s="82"/>
      <c r="AS49" s="83"/>
      <c r="AT49" s="73"/>
      <c r="AU49" s="9"/>
      <c r="AV49" s="32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</row>
    <row r="50" spans="1:257" ht="12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</row>
    <row r="51" spans="1:257" ht="12" customHeight="1">
      <c r="A51" s="9"/>
      <c r="B51" s="9"/>
      <c r="C51" s="82"/>
      <c r="D51" s="9"/>
      <c r="E51" s="82"/>
      <c r="F51" s="9"/>
      <c r="G51" s="82"/>
      <c r="H51" s="9"/>
      <c r="I51" s="82"/>
      <c r="J51" s="9"/>
      <c r="K51" s="82"/>
      <c r="L51" s="82"/>
      <c r="M51" s="82"/>
      <c r="N51" s="84"/>
      <c r="O51" s="82"/>
      <c r="P51" s="9"/>
      <c r="Q51" s="82"/>
      <c r="R51" s="9"/>
      <c r="S51" s="82"/>
      <c r="T51" s="46"/>
      <c r="U51" s="82"/>
      <c r="V51" s="9"/>
      <c r="W51" s="82"/>
      <c r="X51" s="9"/>
      <c r="Y51" s="82"/>
      <c r="Z51" s="52"/>
      <c r="AA51" s="82"/>
      <c r="AB51" s="46"/>
      <c r="AC51" s="82"/>
      <c r="AD51" s="84"/>
      <c r="AE51" s="82"/>
      <c r="AF51" s="46"/>
      <c r="AG51" s="82"/>
      <c r="AH51" s="46"/>
      <c r="AI51" s="82"/>
      <c r="AJ51" s="46"/>
      <c r="AK51" s="82"/>
      <c r="AL51" s="9"/>
      <c r="AM51" s="82"/>
      <c r="AN51" s="82"/>
      <c r="AO51" s="82"/>
      <c r="AP51" s="9"/>
      <c r="AQ51" s="9"/>
      <c r="AR51" s="82"/>
      <c r="AS51" s="83"/>
      <c r="AT51" s="73"/>
      <c r="AU51" s="9"/>
      <c r="AV51" s="32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</row>
    <row r="52" spans="1:257" ht="12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</row>
    <row r="53" spans="1:257" ht="12" customHeight="1">
      <c r="A53" s="9"/>
      <c r="B53" s="9"/>
      <c r="C53" s="82"/>
      <c r="D53" s="9"/>
      <c r="E53" s="82"/>
      <c r="F53" s="9"/>
      <c r="G53" s="82"/>
      <c r="H53" s="9"/>
      <c r="I53" s="82"/>
      <c r="J53" s="9"/>
      <c r="K53" s="82"/>
      <c r="L53" s="82"/>
      <c r="M53" s="82"/>
      <c r="N53" s="84"/>
      <c r="O53" s="82"/>
      <c r="P53" s="9"/>
      <c r="Q53" s="82"/>
      <c r="R53" s="9"/>
      <c r="S53" s="82"/>
      <c r="T53" s="46"/>
      <c r="U53" s="82"/>
      <c r="V53" s="9"/>
      <c r="W53" s="82"/>
      <c r="X53" s="9"/>
      <c r="Y53" s="82"/>
      <c r="Z53" s="52"/>
      <c r="AA53" s="82"/>
      <c r="AB53" s="46"/>
      <c r="AC53" s="82"/>
      <c r="AD53" s="84"/>
      <c r="AE53" s="82"/>
      <c r="AF53" s="46"/>
      <c r="AG53" s="82"/>
      <c r="AH53" s="46"/>
      <c r="AI53" s="82"/>
      <c r="AJ53" s="46"/>
      <c r="AK53" s="82"/>
      <c r="AL53" s="9"/>
      <c r="AM53" s="82"/>
      <c r="AN53" s="82"/>
      <c r="AO53" s="82"/>
      <c r="AP53" s="9"/>
      <c r="AQ53" s="9"/>
      <c r="AR53" s="82"/>
      <c r="AS53" s="83"/>
      <c r="AT53" s="73"/>
      <c r="AU53" s="9"/>
      <c r="AV53" s="32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</row>
    <row r="54" spans="1:257" ht="12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  <c r="IW54" s="9"/>
    </row>
    <row r="55" spans="1:257" ht="12" customHeight="1">
      <c r="A55" s="9"/>
      <c r="B55" s="9"/>
      <c r="C55" s="82"/>
      <c r="D55" s="9"/>
      <c r="E55" s="82"/>
      <c r="F55" s="9"/>
      <c r="G55" s="82"/>
      <c r="H55" s="9"/>
      <c r="I55" s="82"/>
      <c r="J55" s="9"/>
      <c r="K55" s="82"/>
      <c r="L55" s="82"/>
      <c r="M55" s="82"/>
      <c r="N55" s="84"/>
      <c r="O55" s="82"/>
      <c r="P55" s="9"/>
      <c r="Q55" s="82"/>
      <c r="R55" s="9"/>
      <c r="S55" s="82"/>
      <c r="T55" s="46"/>
      <c r="U55" s="82"/>
      <c r="V55" s="9"/>
      <c r="W55" s="82"/>
      <c r="X55" s="9"/>
      <c r="Y55" s="82"/>
      <c r="Z55" s="52"/>
      <c r="AA55" s="82"/>
      <c r="AB55" s="46"/>
      <c r="AC55" s="82"/>
      <c r="AD55" s="84"/>
      <c r="AE55" s="82"/>
      <c r="AF55" s="46"/>
      <c r="AG55" s="82"/>
      <c r="AH55" s="46"/>
      <c r="AI55" s="82"/>
      <c r="AJ55" s="46"/>
      <c r="AK55" s="82"/>
      <c r="AL55" s="9"/>
      <c r="AM55" s="82"/>
      <c r="AN55" s="82"/>
      <c r="AO55" s="82"/>
      <c r="AP55" s="9"/>
      <c r="AQ55" s="9"/>
      <c r="AR55" s="82"/>
      <c r="AS55" s="83"/>
      <c r="AT55" s="73"/>
      <c r="AU55" s="9"/>
      <c r="AV55" s="32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</row>
    <row r="56" spans="1:257" ht="12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  <c r="IW56" s="9"/>
    </row>
    <row r="57" spans="1:257" ht="12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</row>
    <row r="58" spans="1:257" ht="12" customHeight="1">
      <c r="A58" s="9"/>
      <c r="B58" s="9"/>
      <c r="C58" s="82"/>
      <c r="D58" s="9"/>
      <c r="E58" s="82"/>
      <c r="F58" s="9"/>
      <c r="G58" s="82"/>
      <c r="H58" s="9"/>
      <c r="I58" s="82"/>
      <c r="J58" s="9"/>
      <c r="K58" s="82"/>
      <c r="L58" s="82"/>
      <c r="M58" s="82"/>
      <c r="N58" s="84"/>
      <c r="O58" s="82"/>
      <c r="P58" s="9"/>
      <c r="Q58" s="82"/>
      <c r="R58" s="9"/>
      <c r="S58" s="82"/>
      <c r="T58" s="46"/>
      <c r="U58" s="82"/>
      <c r="V58" s="9"/>
      <c r="W58" s="82"/>
      <c r="X58" s="9"/>
      <c r="Y58" s="82"/>
      <c r="Z58" s="52"/>
      <c r="AA58" s="82"/>
      <c r="AB58" s="46"/>
      <c r="AC58" s="82"/>
      <c r="AD58" s="84"/>
      <c r="AE58" s="82"/>
      <c r="AF58" s="46"/>
      <c r="AG58" s="82"/>
      <c r="AH58" s="46"/>
      <c r="AI58" s="82"/>
      <c r="AJ58" s="46"/>
      <c r="AK58" s="82"/>
      <c r="AL58" s="9"/>
      <c r="AM58" s="82"/>
      <c r="AN58" s="82"/>
      <c r="AO58" s="82"/>
      <c r="AP58" s="9"/>
      <c r="AQ58" s="9"/>
      <c r="AR58" s="82"/>
      <c r="AS58" s="83"/>
      <c r="AT58" s="73"/>
      <c r="AU58" s="9"/>
      <c r="AV58" s="32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</row>
    <row r="59" spans="1:257" ht="12" customHeight="1">
      <c r="A59" s="9"/>
      <c r="B59" s="9"/>
      <c r="C59" s="82"/>
      <c r="D59" s="9"/>
      <c r="E59" s="82"/>
      <c r="F59" s="9"/>
      <c r="G59" s="82"/>
      <c r="H59" s="9"/>
      <c r="I59" s="82"/>
      <c r="J59" s="9"/>
      <c r="K59" s="82"/>
      <c r="L59" s="82"/>
      <c r="M59" s="82"/>
      <c r="N59" s="84"/>
      <c r="O59" s="82"/>
      <c r="P59" s="9"/>
      <c r="Q59" s="82"/>
      <c r="R59" s="9"/>
      <c r="S59" s="82"/>
      <c r="T59" s="272" t="s">
        <v>67</v>
      </c>
      <c r="U59" s="270"/>
      <c r="V59" s="9"/>
      <c r="W59" s="82"/>
      <c r="X59" s="9"/>
      <c r="Y59" s="82"/>
      <c r="Z59" s="52"/>
      <c r="AA59" s="82"/>
      <c r="AB59" s="46"/>
      <c r="AC59" s="82"/>
      <c r="AD59" s="84"/>
      <c r="AE59" s="82"/>
      <c r="AF59" s="46"/>
      <c r="AG59" s="82"/>
      <c r="AH59" s="46"/>
      <c r="AI59" s="82"/>
      <c r="AJ59" s="46"/>
      <c r="AK59" s="82"/>
      <c r="AL59" s="9"/>
      <c r="AM59" s="82"/>
      <c r="AN59" s="82"/>
      <c r="AO59" s="82"/>
      <c r="AP59" s="9"/>
      <c r="AQ59" s="9"/>
      <c r="AR59" s="82"/>
      <c r="AS59" s="83"/>
      <c r="AT59" s="73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</row>
    <row r="60" spans="1:257" ht="12" customHeight="1" thickBot="1">
      <c r="A60" s="131" t="s">
        <v>45</v>
      </c>
      <c r="B60" s="1" t="s">
        <v>0</v>
      </c>
      <c r="C60" s="2"/>
      <c r="D60" s="1" t="s">
        <v>1</v>
      </c>
      <c r="E60" s="2"/>
      <c r="F60" s="155" t="s">
        <v>32</v>
      </c>
      <c r="G60" s="2"/>
      <c r="H60" s="155" t="s">
        <v>2</v>
      </c>
      <c r="I60" s="2"/>
      <c r="J60" s="1" t="s">
        <v>3</v>
      </c>
      <c r="K60" s="2"/>
      <c r="L60" s="156" t="s">
        <v>11</v>
      </c>
      <c r="M60" s="2"/>
      <c r="N60" s="3" t="s">
        <v>4</v>
      </c>
      <c r="O60" s="2"/>
      <c r="P60" s="4" t="s">
        <v>5</v>
      </c>
      <c r="Q60" s="2"/>
      <c r="R60" s="3" t="s">
        <v>6</v>
      </c>
      <c r="S60" s="2"/>
      <c r="T60" s="1" t="s">
        <v>7</v>
      </c>
      <c r="U60" s="2"/>
      <c r="V60" s="3" t="s">
        <v>8</v>
      </c>
      <c r="W60" s="2"/>
      <c r="X60" s="4" t="s">
        <v>9</v>
      </c>
      <c r="Y60" s="2"/>
      <c r="Z60" s="156" t="s">
        <v>39</v>
      </c>
      <c r="AA60" s="143"/>
      <c r="AB60" s="234" t="s">
        <v>10</v>
      </c>
      <c r="AC60" s="2"/>
      <c r="AD60" s="3" t="s">
        <v>12</v>
      </c>
      <c r="AE60" s="2"/>
      <c r="AF60" s="156" t="s">
        <v>48</v>
      </c>
      <c r="AG60" s="2"/>
      <c r="AH60" s="3" t="s">
        <v>13</v>
      </c>
      <c r="AI60" s="2"/>
      <c r="AJ60" s="85" t="s">
        <v>14</v>
      </c>
      <c r="AK60" s="2"/>
      <c r="AL60" s="156" t="s">
        <v>49</v>
      </c>
      <c r="AM60" s="238"/>
      <c r="AN60" s="179"/>
      <c r="AO60" s="6"/>
      <c r="AP60" s="6"/>
      <c r="AQ60" s="6"/>
      <c r="AR60" s="7"/>
      <c r="AS60" s="6"/>
      <c r="AT60" s="8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</row>
    <row r="61" spans="1:257" ht="12" customHeight="1" thickTop="1" thickBot="1">
      <c r="A61" s="10" t="s">
        <v>15</v>
      </c>
      <c r="B61" s="11" t="s">
        <v>16</v>
      </c>
      <c r="C61" s="68" t="s">
        <v>17</v>
      </c>
      <c r="D61" s="11" t="s">
        <v>16</v>
      </c>
      <c r="E61" s="68" t="s">
        <v>17</v>
      </c>
      <c r="F61" s="11" t="s">
        <v>16</v>
      </c>
      <c r="G61" s="68" t="s">
        <v>17</v>
      </c>
      <c r="H61" s="11" t="s">
        <v>16</v>
      </c>
      <c r="I61" s="68" t="s">
        <v>17</v>
      </c>
      <c r="J61" s="11" t="s">
        <v>16</v>
      </c>
      <c r="K61" s="68" t="s">
        <v>17</v>
      </c>
      <c r="L61" s="14" t="s">
        <v>16</v>
      </c>
      <c r="M61" s="68" t="s">
        <v>17</v>
      </c>
      <c r="N61" s="14" t="s">
        <v>16</v>
      </c>
      <c r="O61" s="68" t="s">
        <v>17</v>
      </c>
      <c r="P61" s="15" t="s">
        <v>18</v>
      </c>
      <c r="Q61" s="68" t="s">
        <v>17</v>
      </c>
      <c r="R61" s="14" t="s">
        <v>16</v>
      </c>
      <c r="S61" s="68" t="s">
        <v>17</v>
      </c>
      <c r="T61" s="11" t="s">
        <v>16</v>
      </c>
      <c r="U61" s="271" t="s">
        <v>17</v>
      </c>
      <c r="V61" s="14" t="s">
        <v>16</v>
      </c>
      <c r="W61" s="68" t="s">
        <v>17</v>
      </c>
      <c r="X61" s="15" t="s">
        <v>19</v>
      </c>
      <c r="Y61" s="68" t="s">
        <v>17</v>
      </c>
      <c r="Z61" s="14" t="s">
        <v>16</v>
      </c>
      <c r="AA61" s="239" t="s">
        <v>17</v>
      </c>
      <c r="AB61" s="180" t="s">
        <v>16</v>
      </c>
      <c r="AC61" s="68" t="s">
        <v>17</v>
      </c>
      <c r="AD61" s="14" t="s">
        <v>16</v>
      </c>
      <c r="AE61" s="68" t="s">
        <v>17</v>
      </c>
      <c r="AF61" s="14" t="s">
        <v>16</v>
      </c>
      <c r="AG61" s="68" t="s">
        <v>17</v>
      </c>
      <c r="AH61" s="14" t="s">
        <v>16</v>
      </c>
      <c r="AI61" s="68" t="s">
        <v>17</v>
      </c>
      <c r="AJ61" s="55" t="s">
        <v>16</v>
      </c>
      <c r="AK61" s="68" t="s">
        <v>17</v>
      </c>
      <c r="AL61" s="14" t="s">
        <v>16</v>
      </c>
      <c r="AM61" s="68" t="s">
        <v>17</v>
      </c>
      <c r="AN61" s="6"/>
      <c r="AO61" s="16" t="s">
        <v>20</v>
      </c>
      <c r="AP61" s="17" t="s">
        <v>21</v>
      </c>
      <c r="AQ61" s="18" t="s">
        <v>22</v>
      </c>
      <c r="AR61" s="19" t="s">
        <v>23</v>
      </c>
      <c r="AS61" s="20" t="s">
        <v>24</v>
      </c>
      <c r="AT61" s="21" t="s">
        <v>17</v>
      </c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</row>
    <row r="62" spans="1:257" ht="12" customHeight="1" thickTop="1">
      <c r="A62" s="22" t="s">
        <v>26</v>
      </c>
      <c r="B62" s="44">
        <v>6.0428240740740746E-3</v>
      </c>
      <c r="C62" s="45">
        <f>IF(B62="DNF","DNF",IF(B62&gt;0,B$78/B62*100,""))</f>
        <v>58.89676307220838</v>
      </c>
      <c r="D62" s="44">
        <v>3.623842592592593E-3</v>
      </c>
      <c r="E62" s="45">
        <f t="shared" ref="E62:E71" si="58">IF(D62="DNF","DNF",IF(D62&gt;0,D$78/D62*100,""))</f>
        <v>81.124241456403695</v>
      </c>
      <c r="F62" s="44">
        <v>3.7384259259259263E-3</v>
      </c>
      <c r="G62" s="45">
        <f t="shared" ref="G62:G71" si="59">IF(F62="DNF","DNF",IF(F62&gt;0,F$78/F62*100,""))</f>
        <v>69.089783281733745</v>
      </c>
      <c r="H62" s="25">
        <v>2.0493055555555555E-3</v>
      </c>
      <c r="I62" s="45">
        <f t="shared" ref="I62:I71" si="60">IF(H62="DNF","DNF",IF(H62&gt;0,H$78/H62*100,""))</f>
        <v>75.522421777928386</v>
      </c>
      <c r="J62" s="25">
        <v>3.7054398148148146E-3</v>
      </c>
      <c r="K62" s="45">
        <f t="shared" ref="K62:K71" si="61">IF(J62="DNF","DNF",IF(J62&gt;0,J$78/J62*100,""))</f>
        <v>26.749960955801971</v>
      </c>
      <c r="L62" s="44">
        <v>1.420138888888889E-3</v>
      </c>
      <c r="M62" s="45">
        <f t="shared" ref="M62:M71" si="62">IF(L62="DNF","DNF",IF(L62&gt;0,L$78/L62*100,""))</f>
        <v>87.856560717196402</v>
      </c>
      <c r="N62" s="44">
        <v>3.6990740740740747E-3</v>
      </c>
      <c r="O62" s="45">
        <f t="shared" ref="O62:O71" si="63">IF(N62="DNF","DNF",IF(N62&gt;0,N$78/N62*100,""))</f>
        <v>91.645807259073848</v>
      </c>
      <c r="P62" s="47">
        <v>18</v>
      </c>
      <c r="Q62" s="45">
        <f t="shared" ref="Q62:Q71" si="64">IF(P62="DNF","DNF",IF(P62&lt;&gt;"",P62/P$78*100,""))</f>
        <v>56.25</v>
      </c>
      <c r="R62" s="25">
        <v>3.0694444444444443E-4</v>
      </c>
      <c r="S62" s="45">
        <f t="shared" ref="S62:S71" si="65">IF(R62="DNF","DNF",IF(R62&gt;0,R$78/R62*100,""))</f>
        <v>81.900452488687776</v>
      </c>
      <c r="T62" s="48">
        <f>Birling!B41</f>
        <v>3</v>
      </c>
      <c r="U62" s="152">
        <f>Birling!C41</f>
        <v>26.785714285714285</v>
      </c>
      <c r="V62" s="25">
        <v>1.1875E-3</v>
      </c>
      <c r="W62" s="45">
        <f t="shared" ref="W62:W71" si="66">IF(V62="DNF","DNF",IF(V62&gt;0,V$78/V62*100,""))</f>
        <v>50.682261208577003</v>
      </c>
      <c r="X62" s="47">
        <v>0</v>
      </c>
      <c r="Y62" s="45">
        <f t="shared" ref="Y62:Y71" si="67">IF(X62="DNF","DNF",IF(X62&lt;&gt;"",X62/X$78*100,""))</f>
        <v>0</v>
      </c>
      <c r="Z62" s="25">
        <v>4.732638888888889E-4</v>
      </c>
      <c r="AA62" s="243">
        <f t="shared" ref="AA62:AA71" si="68">IF(Z62="DNF","DNF",IF(Z62&gt;0,Z$78/Z62*100,""))</f>
        <v>21.080948887258497</v>
      </c>
      <c r="AB62" s="46">
        <v>2.383101851851852E-3</v>
      </c>
      <c r="AC62" s="45">
        <f t="shared" ref="AC62:AC71" si="69">IF(AB62="DNF","DNF",IF(AB62&gt;0,AB$78/AB62*100,""))</f>
        <v>19.830014570179699</v>
      </c>
      <c r="AD62" s="44">
        <v>8.541666666666667E-4</v>
      </c>
      <c r="AE62" s="45">
        <f t="shared" ref="AE62:AE71" si="70">IF(AD62="DNF","DNF",IF(AD62&gt;0,AD$78/AD62*100,""))</f>
        <v>76.964769647696457</v>
      </c>
      <c r="AF62" s="25">
        <v>1.1712962962962964E-3</v>
      </c>
      <c r="AG62" s="45">
        <f t="shared" ref="AG62:AG71" si="71">IF(AF62="DNF","DNF",IF(AF62&gt;0,AF$78/AF62*100,""))</f>
        <v>76.877470355731219</v>
      </c>
      <c r="AH62" s="44">
        <v>5.5324074074074069E-3</v>
      </c>
      <c r="AI62" s="45">
        <f t="shared" ref="AI62:AI71" si="72">IF(AH62="DNF","DNF",IF(AH62&gt;0,AH$78/AH62*100,""))</f>
        <v>20.585774058577407</v>
      </c>
      <c r="AJ62" s="44">
        <v>3.3344907407407407E-3</v>
      </c>
      <c r="AK62" s="45">
        <f t="shared" ref="AK62:AK71" si="73">IF(AJ62="DNF","DNF",IF(AJ62&gt;0,AJ$78/AJ62*100,""))</f>
        <v>97.188476223533499</v>
      </c>
      <c r="AL62" s="44">
        <v>4.425925925925926E-3</v>
      </c>
      <c r="AM62" s="45">
        <f t="shared" ref="AM62:AM71" si="74">IF(AL62="DNF","DNF",IF(AL62&gt;0,AL$78/AL62*100,""))</f>
        <v>84.544979079497907</v>
      </c>
      <c r="AN62" s="9"/>
      <c r="AO62" s="225" t="str">
        <f>A62</f>
        <v>Dartmouth B</v>
      </c>
      <c r="AP62" s="29">
        <f>SUM(C62,E62,G62,I62,K62,M62,O62,Q62,S62,U62,W62,Y62,AA62,AC62,AE62,AG62,AI62,AK62,AM62)</f>
        <v>1103.5763993258001</v>
      </c>
      <c r="AQ62" s="30">
        <f t="shared" ref="AQ62:AQ65" si="75">RANK(AP62,$AP$62:$AP$73,0)</f>
        <v>5</v>
      </c>
      <c r="AR62" s="73">
        <v>1</v>
      </c>
      <c r="AS62" s="9" t="str">
        <f t="shared" ref="AS62:AS65" si="76">INDEX($AO$62:$AO$71,MATCH(AR62,$AQ$62:$AQ$71,0))</f>
        <v>Paul Smith's M1</v>
      </c>
      <c r="AT62" s="32">
        <f>INDEX($AP$62:$AP$71,MATCH(AS62,$AO$62:$AO$71,0))</f>
        <v>1560.0532446369136</v>
      </c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</row>
    <row r="63" spans="1:257" ht="12" customHeight="1">
      <c r="A63" s="33" t="s">
        <v>59</v>
      </c>
      <c r="B63" s="34">
        <v>3.8831018518518516E-3</v>
      </c>
      <c r="C63" s="35">
        <f t="shared" ref="C63:C71" si="77">IF(B63="DNF","DNF",IF(B63&gt;0,B$78/B63*100,""))</f>
        <v>91.65424739195231</v>
      </c>
      <c r="D63" s="34">
        <v>3.363425925925926E-3</v>
      </c>
      <c r="E63" s="35">
        <f t="shared" si="58"/>
        <v>87.405368203716449</v>
      </c>
      <c r="F63" s="34">
        <v>2.6815972222222224E-3</v>
      </c>
      <c r="G63" s="35">
        <f t="shared" si="59"/>
        <v>96.31835642453278</v>
      </c>
      <c r="H63" s="36">
        <v>1.3902777777777776E-3</v>
      </c>
      <c r="I63" s="35">
        <f t="shared" si="60"/>
        <v>111.32201132201133</v>
      </c>
      <c r="J63" s="36">
        <v>9.6851851851851862E-4</v>
      </c>
      <c r="K63" s="35">
        <f t="shared" si="61"/>
        <v>102.34225621414915</v>
      </c>
      <c r="L63" s="34">
        <v>1.8061342592592591E-3</v>
      </c>
      <c r="M63" s="35">
        <f t="shared" si="62"/>
        <v>69.080422941364958</v>
      </c>
      <c r="N63" s="34">
        <v>3.0208333333333333E-3</v>
      </c>
      <c r="O63" s="35">
        <f t="shared" si="63"/>
        <v>112.22222222222224</v>
      </c>
      <c r="P63" s="38">
        <v>37</v>
      </c>
      <c r="Q63" s="35">
        <f t="shared" si="64"/>
        <v>115.625</v>
      </c>
      <c r="R63" s="36">
        <v>2.587962962962963E-4</v>
      </c>
      <c r="S63" s="35">
        <f t="shared" si="65"/>
        <v>97.137745974955266</v>
      </c>
      <c r="T63" s="39">
        <f>Birling!B42</f>
        <v>2.6</v>
      </c>
      <c r="U63" s="153">
        <f>Birling!C42</f>
        <v>23.214285714285719</v>
      </c>
      <c r="V63" s="36">
        <v>2.4375E-3</v>
      </c>
      <c r="W63" s="35">
        <f t="shared" si="66"/>
        <v>24.691358024691361</v>
      </c>
      <c r="X63" s="38">
        <v>15</v>
      </c>
      <c r="Y63" s="35">
        <f t="shared" si="67"/>
        <v>68.181818181818173</v>
      </c>
      <c r="Z63" s="36">
        <v>2.4143518518518522E-4</v>
      </c>
      <c r="AA63" s="198">
        <f t="shared" si="68"/>
        <v>41.323106423777553</v>
      </c>
      <c r="AB63" s="230">
        <v>1.3252314814814813E-3</v>
      </c>
      <c r="AC63" s="35">
        <f t="shared" si="69"/>
        <v>35.659388646288214</v>
      </c>
      <c r="AD63" s="34">
        <v>6.5393518518518524E-4</v>
      </c>
      <c r="AE63" s="35">
        <f t="shared" si="70"/>
        <v>100.53097345132743</v>
      </c>
      <c r="AF63" s="36">
        <v>8.0092592592592585E-4</v>
      </c>
      <c r="AG63" s="35">
        <f t="shared" si="71"/>
        <v>112.4277456647399</v>
      </c>
      <c r="AH63" s="34">
        <v>2.9652777777777772E-3</v>
      </c>
      <c r="AI63" s="35">
        <f t="shared" si="72"/>
        <v>38.407494145199074</v>
      </c>
      <c r="AJ63" s="34">
        <v>2.646990740740741E-3</v>
      </c>
      <c r="AK63" s="35">
        <f t="shared" si="73"/>
        <v>122.4311324879755</v>
      </c>
      <c r="AL63" s="34">
        <v>3.3993055555555552E-3</v>
      </c>
      <c r="AM63" s="35">
        <f t="shared" si="74"/>
        <v>110.07831120190671</v>
      </c>
      <c r="AN63" s="6"/>
      <c r="AO63" s="262" t="str">
        <f>A63</f>
        <v>Paul Smith's M1</v>
      </c>
      <c r="AP63" s="29">
        <f t="shared" ref="AP63:AP65" si="78">SUM(C63,E63,G63,I63,K63,M63,O63,Q63,S63,U63,W63,Y63,AA63,AC63,AE63,AG63,AI63,AK63,AM63)</f>
        <v>1560.0532446369136</v>
      </c>
      <c r="AQ63" s="56">
        <f t="shared" si="75"/>
        <v>1</v>
      </c>
      <c r="AR63" s="7">
        <v>2</v>
      </c>
      <c r="AS63" s="6" t="str">
        <f t="shared" si="76"/>
        <v>UNH Men's</v>
      </c>
      <c r="AT63" s="8">
        <f>INDEX($AP$62:$AP$71,MATCH(AS63,$AO$62:$AO$71,0))</f>
        <v>1345.0364000552127</v>
      </c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</row>
    <row r="64" spans="1:257" ht="12" customHeight="1">
      <c r="A64" s="22" t="s">
        <v>65</v>
      </c>
      <c r="B64" s="44">
        <v>4.3101851851851851E-3</v>
      </c>
      <c r="C64" s="45">
        <f t="shared" si="77"/>
        <v>82.572502685284647</v>
      </c>
      <c r="D64" s="44">
        <v>4.4513888888888893E-3</v>
      </c>
      <c r="E64" s="45">
        <f t="shared" si="58"/>
        <v>66.042641705668231</v>
      </c>
      <c r="F64" s="44">
        <v>3.0995370370370365E-3</v>
      </c>
      <c r="G64" s="45">
        <f t="shared" si="59"/>
        <v>83.330843913368199</v>
      </c>
      <c r="H64" s="25">
        <v>2.3611111111111111E-3</v>
      </c>
      <c r="I64" s="45">
        <f t="shared" si="60"/>
        <v>65.549019607843135</v>
      </c>
      <c r="J64" s="25">
        <v>1.6373842592592592E-3</v>
      </c>
      <c r="K64" s="45">
        <f t="shared" si="61"/>
        <v>60.535802643670046</v>
      </c>
      <c r="L64" s="44">
        <v>1.6631944444444446E-3</v>
      </c>
      <c r="M64" s="45">
        <f t="shared" si="62"/>
        <v>75.017397355601943</v>
      </c>
      <c r="N64" s="44">
        <v>3.0752314814814813E-3</v>
      </c>
      <c r="O64" s="45">
        <f t="shared" si="63"/>
        <v>110.23710952201733</v>
      </c>
      <c r="P64" s="47">
        <v>21</v>
      </c>
      <c r="Q64" s="45">
        <f t="shared" si="64"/>
        <v>65.625</v>
      </c>
      <c r="R64" s="25">
        <v>6.2847222222222221E-4</v>
      </c>
      <c r="S64" s="45">
        <f t="shared" si="65"/>
        <v>40</v>
      </c>
      <c r="T64" s="48">
        <f>Birling!B43</f>
        <v>11.2</v>
      </c>
      <c r="U64" s="274">
        <f>Birling!C43</f>
        <v>100</v>
      </c>
      <c r="V64" s="25">
        <v>1.5821759259259259E-3</v>
      </c>
      <c r="W64" s="45">
        <f t="shared" si="66"/>
        <v>38.039502560351139</v>
      </c>
      <c r="X64" s="47">
        <v>15</v>
      </c>
      <c r="Y64" s="45">
        <f t="shared" si="67"/>
        <v>68.181818181818173</v>
      </c>
      <c r="Z64" s="25">
        <v>1.7824074074074075E-4</v>
      </c>
      <c r="AA64" s="167">
        <f t="shared" si="68"/>
        <v>55.974025974025963</v>
      </c>
      <c r="AB64" s="46">
        <v>1.2163194444444446E-3</v>
      </c>
      <c r="AC64" s="45">
        <f t="shared" si="69"/>
        <v>38.85241221809877</v>
      </c>
      <c r="AD64" s="44">
        <v>1.1770833333333334E-3</v>
      </c>
      <c r="AE64" s="45">
        <f t="shared" si="70"/>
        <v>55.850540806293012</v>
      </c>
      <c r="AF64" s="25">
        <v>1.4016203703703706E-3</v>
      </c>
      <c r="AG64" s="45">
        <f t="shared" si="71"/>
        <v>64.244426094137069</v>
      </c>
      <c r="AH64" s="44">
        <v>2.5694444444444445E-3</v>
      </c>
      <c r="AI64" s="45">
        <f t="shared" si="72"/>
        <v>44.32432432432433</v>
      </c>
      <c r="AJ64" s="25">
        <v>4.828703703703704E-3</v>
      </c>
      <c r="AK64" s="45">
        <f t="shared" si="73"/>
        <v>67.114093959731534</v>
      </c>
      <c r="AL64" s="44">
        <v>4.7800925925925919E-3</v>
      </c>
      <c r="AM64" s="45">
        <f t="shared" si="74"/>
        <v>78.280871670702197</v>
      </c>
      <c r="AN64" s="9"/>
      <c r="AO64" s="225" t="str">
        <f>A64</f>
        <v>Ranger Men's</v>
      </c>
      <c r="AP64" s="29">
        <f t="shared" si="78"/>
        <v>1259.7723332229357</v>
      </c>
      <c r="AQ64" s="30">
        <f t="shared" si="75"/>
        <v>3</v>
      </c>
      <c r="AR64" s="73">
        <v>3</v>
      </c>
      <c r="AS64" s="9" t="str">
        <f t="shared" si="76"/>
        <v>Ranger Men's</v>
      </c>
      <c r="AT64" s="32">
        <f>INDEX($AP$62:$AP$71,MATCH(AS64,$AO$62:$AO$71,0))</f>
        <v>1259.7723332229357</v>
      </c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</row>
    <row r="65" spans="1:255" ht="12" customHeight="1">
      <c r="A65" s="33" t="s">
        <v>60</v>
      </c>
      <c r="B65" s="34">
        <v>6.115740740740741E-3</v>
      </c>
      <c r="C65" s="35">
        <f t="shared" si="77"/>
        <v>58.194549583648744</v>
      </c>
      <c r="D65" s="34">
        <v>4.3009259259259259E-3</v>
      </c>
      <c r="E65" s="35">
        <f t="shared" si="58"/>
        <v>68.353067814854683</v>
      </c>
      <c r="F65" s="34">
        <v>2.7916666666666663E-3</v>
      </c>
      <c r="G65" s="35">
        <f t="shared" si="59"/>
        <v>92.520729684908801</v>
      </c>
      <c r="H65" s="36">
        <v>1.6131944444444442E-3</v>
      </c>
      <c r="I65" s="35">
        <f t="shared" si="60"/>
        <v>95.939159133304642</v>
      </c>
      <c r="J65" s="36">
        <v>2.1552083333333332E-3</v>
      </c>
      <c r="K65" s="35">
        <f t="shared" si="61"/>
        <v>45.99108533376296</v>
      </c>
      <c r="L65" s="34">
        <v>2.5081018518518521E-3</v>
      </c>
      <c r="M65" s="35">
        <f t="shared" si="62"/>
        <v>49.746192893401016</v>
      </c>
      <c r="N65" s="34">
        <v>3.3460648148148152E-3</v>
      </c>
      <c r="O65" s="35">
        <f t="shared" si="63"/>
        <v>101.31442407471462</v>
      </c>
      <c r="P65" s="38">
        <v>33</v>
      </c>
      <c r="Q65" s="35">
        <f t="shared" si="64"/>
        <v>103.125</v>
      </c>
      <c r="R65" s="36">
        <v>5.3946759259259258E-4</v>
      </c>
      <c r="S65" s="35">
        <f t="shared" si="65"/>
        <v>46.599442179789747</v>
      </c>
      <c r="T65" s="39">
        <f>Birling!B44</f>
        <v>1.6</v>
      </c>
      <c r="U65" s="153">
        <f>Birling!C44</f>
        <v>14.285714285714288</v>
      </c>
      <c r="V65" s="36">
        <v>6.9641203703703705E-3</v>
      </c>
      <c r="W65" s="35">
        <f t="shared" si="66"/>
        <v>8.6421804886155886</v>
      </c>
      <c r="X65" s="38">
        <v>13</v>
      </c>
      <c r="Y65" s="35">
        <f t="shared" si="67"/>
        <v>59.090909090909093</v>
      </c>
      <c r="Z65" s="36">
        <v>3.4085648148148148E-4</v>
      </c>
      <c r="AA65" s="198">
        <f t="shared" si="68"/>
        <v>29.269949066213918</v>
      </c>
      <c r="AB65" s="230">
        <v>1.549074074074074E-3</v>
      </c>
      <c r="AC65" s="35">
        <f t="shared" si="69"/>
        <v>30.506575014943216</v>
      </c>
      <c r="AD65" s="34">
        <v>9.86111111111111E-4</v>
      </c>
      <c r="AE65" s="35">
        <f t="shared" si="70"/>
        <v>66.666666666666657</v>
      </c>
      <c r="AF65" s="36">
        <v>1.2002314814814816E-3</v>
      </c>
      <c r="AG65" s="35">
        <f t="shared" si="71"/>
        <v>75.024108003857279</v>
      </c>
      <c r="AH65" s="34">
        <v>2.5104166666666669E-3</v>
      </c>
      <c r="AI65" s="35">
        <f t="shared" si="72"/>
        <v>45.366528354080224</v>
      </c>
      <c r="AJ65" s="36">
        <v>6.114583333333333E-3</v>
      </c>
      <c r="AK65" s="35">
        <f t="shared" si="73"/>
        <v>53.000189286390309</v>
      </c>
      <c r="AL65" s="34">
        <v>4.108796296296297E-3</v>
      </c>
      <c r="AM65" s="35">
        <f t="shared" si="74"/>
        <v>91.070422535211264</v>
      </c>
      <c r="AN65" s="6"/>
      <c r="AO65" s="262" t="str">
        <f>A65</f>
        <v>Paul Smith's M2</v>
      </c>
      <c r="AP65" s="29">
        <f t="shared" si="78"/>
        <v>1134.7068934909871</v>
      </c>
      <c r="AQ65" s="56">
        <f t="shared" si="75"/>
        <v>4</v>
      </c>
      <c r="AR65" s="7">
        <v>4</v>
      </c>
      <c r="AS65" s="6" t="str">
        <f t="shared" si="76"/>
        <v>Paul Smith's M2</v>
      </c>
      <c r="AT65" s="8">
        <f>INDEX($AP$62:$AP$71,MATCH(AS65,$AO$62:$AO$71,0))</f>
        <v>1134.7068934909871</v>
      </c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</row>
    <row r="66" spans="1:255" ht="12" customHeight="1">
      <c r="A66" s="22" t="s">
        <v>58</v>
      </c>
      <c r="B66" s="44">
        <v>4.859953703703704E-3</v>
      </c>
      <c r="C66" s="45">
        <f t="shared" si="77"/>
        <v>73.231721838532977</v>
      </c>
      <c r="D66" s="44">
        <v>4.1562500000000002E-3</v>
      </c>
      <c r="E66" s="45">
        <f t="shared" si="58"/>
        <v>70.732386521860207</v>
      </c>
      <c r="F66" s="44">
        <v>3.5624999999999997E-3</v>
      </c>
      <c r="G66" s="45">
        <f t="shared" si="59"/>
        <v>72.501624431449002</v>
      </c>
      <c r="H66" s="25">
        <v>3.3833333333333332E-3</v>
      </c>
      <c r="I66" s="45">
        <f t="shared" si="60"/>
        <v>45.744389709906955</v>
      </c>
      <c r="J66" s="25">
        <v>5.1829861111111113E-3</v>
      </c>
      <c r="K66" s="45">
        <f t="shared" si="61"/>
        <v>19.124182130814411</v>
      </c>
      <c r="L66" s="44">
        <v>1.7997685185185185E-3</v>
      </c>
      <c r="M66" s="45">
        <f t="shared" si="62"/>
        <v>69.324758842443728</v>
      </c>
      <c r="N66" s="44">
        <v>3.7199074074074075E-3</v>
      </c>
      <c r="O66" s="45">
        <f t="shared" si="63"/>
        <v>91.13254511512136</v>
      </c>
      <c r="P66" s="47">
        <v>34</v>
      </c>
      <c r="Q66" s="45">
        <f t="shared" si="64"/>
        <v>106.25</v>
      </c>
      <c r="R66" s="25">
        <v>4.7280092592592599E-4</v>
      </c>
      <c r="S66" s="45">
        <f t="shared" si="65"/>
        <v>53.170134638922882</v>
      </c>
      <c r="T66" s="48">
        <f>Birling!B45</f>
        <v>2.1</v>
      </c>
      <c r="U66" s="274">
        <f>Birling!C45</f>
        <v>18.750000000000004</v>
      </c>
      <c r="V66" s="25">
        <v>1.2094907407407408E-3</v>
      </c>
      <c r="W66" s="45">
        <f t="shared" si="66"/>
        <v>49.760765550239235</v>
      </c>
      <c r="X66" s="47">
        <v>10</v>
      </c>
      <c r="Y66" s="45">
        <f t="shared" si="67"/>
        <v>45.454545454545453</v>
      </c>
      <c r="Z66" s="25">
        <v>1.9826388888888888E-4</v>
      </c>
      <c r="AA66" s="167">
        <f t="shared" si="68"/>
        <v>50.32107413893754</v>
      </c>
      <c r="AB66" s="46">
        <v>3.7376157407407406E-3</v>
      </c>
      <c r="AC66" s="45">
        <f t="shared" si="69"/>
        <v>12.643606973647541</v>
      </c>
      <c r="AD66" s="44">
        <v>1.3854166666666667E-3</v>
      </c>
      <c r="AE66" s="45">
        <f t="shared" si="70"/>
        <v>47.451963241436914</v>
      </c>
      <c r="AF66" s="25">
        <v>1.4293981481481482E-3</v>
      </c>
      <c r="AG66" s="45">
        <f t="shared" si="71"/>
        <v>62.995951417004051</v>
      </c>
      <c r="AH66" s="44">
        <v>6.4004629629629628E-3</v>
      </c>
      <c r="AI66" s="45">
        <f t="shared" si="72"/>
        <v>17.793851717902349</v>
      </c>
      <c r="AJ66" s="25">
        <v>4.2939814814814811E-3</v>
      </c>
      <c r="AK66" s="45">
        <f t="shared" si="73"/>
        <v>75.471698113207552</v>
      </c>
      <c r="AL66" s="44">
        <v>5.4479166666666669E-3</v>
      </c>
      <c r="AM66" s="45">
        <f t="shared" si="74"/>
        <v>68.684937327384745</v>
      </c>
      <c r="AN66" s="9"/>
      <c r="AO66" s="262" t="str">
        <f t="shared" ref="AO66:AO67" si="79">A66</f>
        <v>Dartmouth C</v>
      </c>
      <c r="AP66" s="29">
        <f t="shared" ref="AP66:AP67" si="80">SUM(C66,E66,G66,I66,K66,M66,O66,Q66,S66,U66,W66,Y66,AA66,AC66,AE66,AG66,AI66,AK66,AM66)</f>
        <v>1050.540137163357</v>
      </c>
      <c r="AQ66" s="264">
        <f t="shared" ref="AQ66:AQ67" si="81">RANK(AP66,$AP$62:$AP$73,0)</f>
        <v>6</v>
      </c>
      <c r="AR66" s="265">
        <v>5</v>
      </c>
      <c r="AS66" s="266" t="str">
        <f t="shared" ref="AS66:AS67" si="82">INDEX($AO$62:$AO$71,MATCH(AR66,$AQ$62:$AQ$71,0))</f>
        <v>Dartmouth B</v>
      </c>
      <c r="AT66" s="267">
        <f t="shared" ref="AT66:AT67" si="83">INDEX($AP$62:$AP$71,MATCH(AS66,$AO$62:$AO$71,0))</f>
        <v>1103.5763993258001</v>
      </c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</row>
    <row r="67" spans="1:255" ht="12" customHeight="1">
      <c r="A67" s="33" t="s">
        <v>62</v>
      </c>
      <c r="B67" s="34">
        <v>3.6527777777777774E-3</v>
      </c>
      <c r="C67" s="35">
        <f t="shared" si="77"/>
        <v>97.433460076045648</v>
      </c>
      <c r="D67" s="34">
        <v>4.0509259259259257E-3</v>
      </c>
      <c r="E67" s="35">
        <f t="shared" si="58"/>
        <v>72.571428571428569</v>
      </c>
      <c r="F67" s="34">
        <v>3.0856481481481481E-3</v>
      </c>
      <c r="G67" s="35">
        <f t="shared" si="59"/>
        <v>83.705926481620409</v>
      </c>
      <c r="H67" s="36">
        <v>1.5957175925925924E-3</v>
      </c>
      <c r="I67" s="35">
        <f t="shared" si="60"/>
        <v>96.989918038732142</v>
      </c>
      <c r="J67" s="36">
        <v>2.20005787037037E-3</v>
      </c>
      <c r="K67" s="35">
        <f t="shared" si="61"/>
        <v>45.053528684535877</v>
      </c>
      <c r="L67" s="34">
        <v>1.0010416666666668E-3</v>
      </c>
      <c r="M67" s="35">
        <f t="shared" si="62"/>
        <v>124.63868655335877</v>
      </c>
      <c r="N67" s="34">
        <v>5.9502314814814808E-3</v>
      </c>
      <c r="O67" s="35">
        <f t="shared" si="63"/>
        <v>56.973351488037359</v>
      </c>
      <c r="P67" s="38">
        <v>21</v>
      </c>
      <c r="Q67" s="35">
        <f t="shared" si="64"/>
        <v>65.625</v>
      </c>
      <c r="R67" s="36">
        <v>2.7743055555555556E-4</v>
      </c>
      <c r="S67" s="35">
        <f t="shared" si="65"/>
        <v>90.613266583229034</v>
      </c>
      <c r="T67" s="39">
        <f>Birling!B46</f>
        <v>1.5</v>
      </c>
      <c r="U67" s="153">
        <f>Birling!C46</f>
        <v>13.392857142857142</v>
      </c>
      <c r="V67" s="36">
        <v>1.224537037037037E-3</v>
      </c>
      <c r="W67" s="35">
        <f t="shared" si="66"/>
        <v>49.149338374291119</v>
      </c>
      <c r="X67" s="38">
        <v>10</v>
      </c>
      <c r="Y67" s="35">
        <f t="shared" si="67"/>
        <v>45.454545454545453</v>
      </c>
      <c r="Z67" s="36">
        <v>1.0868055555555555E-4</v>
      </c>
      <c r="AA67" s="198">
        <f t="shared" si="68"/>
        <v>91.799787007454739</v>
      </c>
      <c r="AB67" s="230">
        <v>1.4554398148148148E-3</v>
      </c>
      <c r="AC67" s="35">
        <f t="shared" si="69"/>
        <v>32.469184890656067</v>
      </c>
      <c r="AD67" s="34">
        <v>1.0162037037037038E-3</v>
      </c>
      <c r="AE67" s="35">
        <f t="shared" si="70"/>
        <v>64.69248291571752</v>
      </c>
      <c r="AF67" s="36">
        <v>1.0497685185185187E-3</v>
      </c>
      <c r="AG67" s="35">
        <f t="shared" si="71"/>
        <v>85.77728776185225</v>
      </c>
      <c r="AH67" s="34">
        <v>1.4224537037037038E-3</v>
      </c>
      <c r="AI67" s="35">
        <f t="shared" si="72"/>
        <v>80.065093572009758</v>
      </c>
      <c r="AJ67" s="36">
        <v>4.3217592592592596E-3</v>
      </c>
      <c r="AK67" s="35">
        <f t="shared" si="73"/>
        <v>74.986609534011777</v>
      </c>
      <c r="AL67" s="34">
        <v>5.0810185185185186E-3</v>
      </c>
      <c r="AM67" s="35">
        <f t="shared" si="74"/>
        <v>73.644646924829161</v>
      </c>
      <c r="AN67" s="6"/>
      <c r="AO67" s="262" t="str">
        <f t="shared" si="79"/>
        <v>UNH Men's</v>
      </c>
      <c r="AP67" s="29">
        <f t="shared" si="80"/>
        <v>1345.0364000552127</v>
      </c>
      <c r="AQ67" s="56">
        <f t="shared" si="81"/>
        <v>2</v>
      </c>
      <c r="AR67" s="7">
        <v>6</v>
      </c>
      <c r="AS67" s="6" t="str">
        <f t="shared" si="82"/>
        <v>Dartmouth C</v>
      </c>
      <c r="AT67" s="8">
        <f t="shared" si="83"/>
        <v>1050.540137163357</v>
      </c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</row>
    <row r="68" spans="1:255" ht="12" customHeight="1">
      <c r="A68" s="22"/>
      <c r="B68" s="44"/>
      <c r="C68" s="45" t="str">
        <f t="shared" si="77"/>
        <v/>
      </c>
      <c r="D68" s="44"/>
      <c r="E68" s="45" t="str">
        <f t="shared" si="58"/>
        <v/>
      </c>
      <c r="F68" s="44"/>
      <c r="G68" s="45" t="str">
        <f t="shared" si="59"/>
        <v/>
      </c>
      <c r="H68" s="25"/>
      <c r="I68" s="45" t="str">
        <f t="shared" si="60"/>
        <v/>
      </c>
      <c r="J68" s="25"/>
      <c r="K68" s="45" t="str">
        <f t="shared" si="61"/>
        <v/>
      </c>
      <c r="L68" s="44"/>
      <c r="M68" s="45" t="str">
        <f t="shared" si="62"/>
        <v/>
      </c>
      <c r="N68" s="44"/>
      <c r="O68" s="45" t="str">
        <f t="shared" si="63"/>
        <v/>
      </c>
      <c r="P68" s="47"/>
      <c r="Q68" s="45" t="str">
        <f t="shared" si="64"/>
        <v/>
      </c>
      <c r="R68" s="25"/>
      <c r="S68" s="45" t="str">
        <f t="shared" si="65"/>
        <v/>
      </c>
      <c r="T68" s="50"/>
      <c r="U68" s="45"/>
      <c r="V68" s="25"/>
      <c r="W68" s="45" t="str">
        <f t="shared" si="66"/>
        <v/>
      </c>
      <c r="X68" s="47"/>
      <c r="Y68" s="45" t="str">
        <f t="shared" si="67"/>
        <v/>
      </c>
      <c r="Z68" s="25"/>
      <c r="AA68" s="167" t="str">
        <f t="shared" si="68"/>
        <v/>
      </c>
      <c r="AB68" s="46"/>
      <c r="AC68" s="45" t="str">
        <f t="shared" si="69"/>
        <v/>
      </c>
      <c r="AD68" s="44"/>
      <c r="AE68" s="45" t="str">
        <f t="shared" si="70"/>
        <v/>
      </c>
      <c r="AF68" s="25"/>
      <c r="AG68" s="45" t="str">
        <f t="shared" si="71"/>
        <v/>
      </c>
      <c r="AH68" s="44"/>
      <c r="AI68" s="45" t="str">
        <f t="shared" si="72"/>
        <v/>
      </c>
      <c r="AJ68" s="25"/>
      <c r="AK68" s="45" t="str">
        <f t="shared" si="73"/>
        <v/>
      </c>
      <c r="AL68" s="44"/>
      <c r="AM68" s="45" t="str">
        <f t="shared" si="74"/>
        <v/>
      </c>
      <c r="AN68" s="9"/>
      <c r="AO68" s="28"/>
      <c r="AP68" s="29"/>
      <c r="AQ68" s="30"/>
      <c r="AR68" s="73"/>
      <c r="AS68" s="9"/>
      <c r="AT68" s="32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</row>
    <row r="69" spans="1:255" ht="12" customHeight="1">
      <c r="A69" s="33"/>
      <c r="B69" s="34"/>
      <c r="C69" s="35" t="str">
        <f t="shared" si="77"/>
        <v/>
      </c>
      <c r="D69" s="34"/>
      <c r="E69" s="35" t="str">
        <f t="shared" si="58"/>
        <v/>
      </c>
      <c r="F69" s="34"/>
      <c r="G69" s="35" t="str">
        <f t="shared" si="59"/>
        <v/>
      </c>
      <c r="H69" s="36"/>
      <c r="I69" s="35" t="str">
        <f t="shared" si="60"/>
        <v/>
      </c>
      <c r="J69" s="36"/>
      <c r="K69" s="35" t="str">
        <f t="shared" si="61"/>
        <v/>
      </c>
      <c r="L69" s="34"/>
      <c r="M69" s="35" t="str">
        <f t="shared" si="62"/>
        <v/>
      </c>
      <c r="N69" s="34"/>
      <c r="O69" s="35" t="str">
        <f t="shared" si="63"/>
        <v/>
      </c>
      <c r="P69" s="38"/>
      <c r="Q69" s="35" t="str">
        <f t="shared" si="64"/>
        <v/>
      </c>
      <c r="R69" s="36"/>
      <c r="S69" s="35" t="str">
        <f t="shared" si="65"/>
        <v/>
      </c>
      <c r="T69" s="5"/>
      <c r="U69" s="35"/>
      <c r="V69" s="36"/>
      <c r="W69" s="35" t="str">
        <f t="shared" si="66"/>
        <v/>
      </c>
      <c r="X69" s="38"/>
      <c r="Y69" s="35" t="str">
        <f t="shared" si="67"/>
        <v/>
      </c>
      <c r="Z69" s="36"/>
      <c r="AA69" s="198" t="str">
        <f t="shared" si="68"/>
        <v/>
      </c>
      <c r="AB69" s="230"/>
      <c r="AC69" s="35" t="str">
        <f t="shared" si="69"/>
        <v/>
      </c>
      <c r="AD69" s="34"/>
      <c r="AE69" s="35" t="str">
        <f t="shared" si="70"/>
        <v/>
      </c>
      <c r="AF69" s="36"/>
      <c r="AG69" s="35" t="str">
        <f t="shared" si="71"/>
        <v/>
      </c>
      <c r="AH69" s="34"/>
      <c r="AI69" s="35" t="str">
        <f t="shared" si="72"/>
        <v/>
      </c>
      <c r="AJ69" s="36"/>
      <c r="AK69" s="35" t="str">
        <f t="shared" si="73"/>
        <v/>
      </c>
      <c r="AL69" s="34"/>
      <c r="AM69" s="35" t="str">
        <f t="shared" si="74"/>
        <v/>
      </c>
      <c r="AN69" s="6"/>
      <c r="AO69" s="40"/>
      <c r="AP69" s="41"/>
      <c r="AQ69" s="56"/>
      <c r="AR69" s="7"/>
      <c r="AS69" s="6"/>
      <c r="AT69" s="8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</row>
    <row r="70" spans="1:255" ht="12" customHeight="1">
      <c r="A70" s="22"/>
      <c r="B70" s="44"/>
      <c r="C70" s="45" t="str">
        <f t="shared" si="77"/>
        <v/>
      </c>
      <c r="D70" s="44"/>
      <c r="E70" s="45" t="str">
        <f t="shared" si="58"/>
        <v/>
      </c>
      <c r="F70" s="44"/>
      <c r="G70" s="45" t="str">
        <f t="shared" si="59"/>
        <v/>
      </c>
      <c r="H70" s="25"/>
      <c r="I70" s="45" t="str">
        <f t="shared" si="60"/>
        <v/>
      </c>
      <c r="J70" s="25"/>
      <c r="K70" s="45" t="str">
        <f t="shared" si="61"/>
        <v/>
      </c>
      <c r="L70" s="44"/>
      <c r="M70" s="45" t="str">
        <f t="shared" si="62"/>
        <v/>
      </c>
      <c r="N70" s="44"/>
      <c r="O70" s="45" t="str">
        <f t="shared" si="63"/>
        <v/>
      </c>
      <c r="P70" s="47"/>
      <c r="Q70" s="45" t="str">
        <f t="shared" si="64"/>
        <v/>
      </c>
      <c r="R70" s="25"/>
      <c r="S70" s="45" t="str">
        <f t="shared" si="65"/>
        <v/>
      </c>
      <c r="T70" s="50"/>
      <c r="U70" s="45"/>
      <c r="V70" s="25"/>
      <c r="W70" s="45" t="str">
        <f t="shared" si="66"/>
        <v/>
      </c>
      <c r="X70" s="47"/>
      <c r="Y70" s="45" t="str">
        <f t="shared" si="67"/>
        <v/>
      </c>
      <c r="Z70" s="25"/>
      <c r="AA70" s="167" t="str">
        <f t="shared" si="68"/>
        <v/>
      </c>
      <c r="AB70" s="46"/>
      <c r="AC70" s="45" t="str">
        <f t="shared" si="69"/>
        <v/>
      </c>
      <c r="AD70" s="44"/>
      <c r="AE70" s="45" t="str">
        <f t="shared" si="70"/>
        <v/>
      </c>
      <c r="AF70" s="25"/>
      <c r="AG70" s="45" t="str">
        <f t="shared" si="71"/>
        <v/>
      </c>
      <c r="AH70" s="44"/>
      <c r="AI70" s="45" t="str">
        <f t="shared" si="72"/>
        <v/>
      </c>
      <c r="AJ70" s="25"/>
      <c r="AK70" s="45" t="str">
        <f t="shared" si="73"/>
        <v/>
      </c>
      <c r="AL70" s="44"/>
      <c r="AM70" s="45" t="str">
        <f t="shared" si="74"/>
        <v/>
      </c>
      <c r="AN70" s="9"/>
      <c r="AO70" s="28"/>
      <c r="AP70" s="29"/>
      <c r="AQ70" s="30"/>
      <c r="AR70" s="73"/>
      <c r="AS70" s="9"/>
      <c r="AT70" s="32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</row>
    <row r="71" spans="1:255" ht="12" customHeight="1">
      <c r="A71" s="33"/>
      <c r="B71" s="34"/>
      <c r="C71" s="35" t="str">
        <f t="shared" si="77"/>
        <v/>
      </c>
      <c r="D71" s="34"/>
      <c r="E71" s="35" t="str">
        <f t="shared" si="58"/>
        <v/>
      </c>
      <c r="F71" s="34"/>
      <c r="G71" s="35" t="str">
        <f t="shared" si="59"/>
        <v/>
      </c>
      <c r="H71" s="36"/>
      <c r="I71" s="35" t="str">
        <f t="shared" si="60"/>
        <v/>
      </c>
      <c r="J71" s="36"/>
      <c r="K71" s="35" t="str">
        <f t="shared" si="61"/>
        <v/>
      </c>
      <c r="L71" s="34"/>
      <c r="M71" s="35" t="str">
        <f t="shared" si="62"/>
        <v/>
      </c>
      <c r="N71" s="34"/>
      <c r="O71" s="35" t="str">
        <f t="shared" si="63"/>
        <v/>
      </c>
      <c r="P71" s="38"/>
      <c r="Q71" s="35" t="str">
        <f t="shared" si="64"/>
        <v/>
      </c>
      <c r="R71" s="36"/>
      <c r="S71" s="35" t="str">
        <f t="shared" si="65"/>
        <v/>
      </c>
      <c r="T71" s="5"/>
      <c r="U71" s="35"/>
      <c r="V71" s="36"/>
      <c r="W71" s="35" t="str">
        <f t="shared" si="66"/>
        <v/>
      </c>
      <c r="X71" s="38"/>
      <c r="Y71" s="35" t="str">
        <f t="shared" si="67"/>
        <v/>
      </c>
      <c r="Z71" s="36"/>
      <c r="AA71" s="198" t="str">
        <f t="shared" si="68"/>
        <v/>
      </c>
      <c r="AB71" s="230"/>
      <c r="AC71" s="35" t="str">
        <f t="shared" si="69"/>
        <v/>
      </c>
      <c r="AD71" s="34"/>
      <c r="AE71" s="35" t="str">
        <f t="shared" si="70"/>
        <v/>
      </c>
      <c r="AF71" s="36"/>
      <c r="AG71" s="35" t="str">
        <f t="shared" si="71"/>
        <v/>
      </c>
      <c r="AH71" s="34"/>
      <c r="AI71" s="35" t="str">
        <f t="shared" si="72"/>
        <v/>
      </c>
      <c r="AJ71" s="36"/>
      <c r="AK71" s="35" t="str">
        <f t="shared" si="73"/>
        <v/>
      </c>
      <c r="AL71" s="34"/>
      <c r="AM71" s="35" t="str">
        <f t="shared" si="74"/>
        <v/>
      </c>
      <c r="AN71" s="6"/>
      <c r="AO71" s="40"/>
      <c r="AP71" s="41"/>
      <c r="AQ71" s="56"/>
      <c r="AR71" s="7"/>
      <c r="AS71" s="6"/>
      <c r="AT71" s="8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</row>
    <row r="72" spans="1:255" ht="12" customHeight="1">
      <c r="A72" s="50"/>
      <c r="B72" s="44"/>
      <c r="C72" s="45"/>
      <c r="D72" s="44"/>
      <c r="E72" s="45"/>
      <c r="F72" s="44"/>
      <c r="G72" s="45"/>
      <c r="H72" s="25"/>
      <c r="I72" s="45"/>
      <c r="J72" s="86"/>
      <c r="K72" s="45"/>
      <c r="L72" s="44"/>
      <c r="M72" s="45"/>
      <c r="N72" s="44"/>
      <c r="O72" s="45"/>
      <c r="P72" s="47"/>
      <c r="Q72" s="45"/>
      <c r="R72" s="25"/>
      <c r="S72" s="45"/>
      <c r="T72" s="50"/>
      <c r="U72" s="45"/>
      <c r="V72" s="25"/>
      <c r="W72" s="45"/>
      <c r="X72" s="47"/>
      <c r="Y72" s="45"/>
      <c r="Z72" s="25"/>
      <c r="AA72" s="167"/>
      <c r="AB72" s="46"/>
      <c r="AC72" s="45"/>
      <c r="AD72" s="44"/>
      <c r="AE72" s="45"/>
      <c r="AF72" s="25"/>
      <c r="AG72" s="45"/>
      <c r="AH72" s="44"/>
      <c r="AI72" s="45"/>
      <c r="AJ72" s="25"/>
      <c r="AK72" s="45"/>
      <c r="AL72" s="44"/>
      <c r="AM72" s="45"/>
      <c r="AN72" s="9"/>
      <c r="AO72" s="28"/>
      <c r="AP72" s="29"/>
      <c r="AQ72" s="30"/>
      <c r="AR72" s="73"/>
      <c r="AS72" s="9"/>
      <c r="AT72" s="32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  <c r="IQ72" s="9"/>
      <c r="IR72" s="9"/>
      <c r="IS72" s="9"/>
      <c r="IT72" s="9"/>
      <c r="IU72" s="9"/>
    </row>
    <row r="73" spans="1:255" ht="12" customHeight="1">
      <c r="A73" s="59"/>
      <c r="B73" s="34"/>
      <c r="C73" s="35"/>
      <c r="D73" s="34"/>
      <c r="E73" s="35"/>
      <c r="F73" s="34"/>
      <c r="G73" s="35"/>
      <c r="H73" s="36"/>
      <c r="I73" s="35"/>
      <c r="J73" s="87"/>
      <c r="K73" s="35"/>
      <c r="L73" s="34"/>
      <c r="M73" s="35"/>
      <c r="N73" s="34"/>
      <c r="O73" s="35"/>
      <c r="P73" s="38"/>
      <c r="Q73" s="35"/>
      <c r="R73" s="36"/>
      <c r="S73" s="35"/>
      <c r="T73" s="5"/>
      <c r="U73" s="35"/>
      <c r="V73" s="36"/>
      <c r="W73" s="35"/>
      <c r="X73" s="38"/>
      <c r="Y73" s="35"/>
      <c r="Z73" s="36"/>
      <c r="AA73" s="198"/>
      <c r="AB73" s="230"/>
      <c r="AC73" s="35"/>
      <c r="AD73" s="34"/>
      <c r="AE73" s="35"/>
      <c r="AF73" s="36"/>
      <c r="AG73" s="35"/>
      <c r="AH73" s="34"/>
      <c r="AI73" s="35"/>
      <c r="AJ73" s="36"/>
      <c r="AK73" s="35"/>
      <c r="AL73" s="34"/>
      <c r="AM73" s="35"/>
      <c r="AN73" s="6"/>
      <c r="AO73" s="40"/>
      <c r="AP73" s="41"/>
      <c r="AQ73" s="56"/>
      <c r="AR73" s="7"/>
      <c r="AS73" s="6"/>
      <c r="AT73" s="8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</row>
    <row r="74" spans="1:255" ht="12" customHeight="1">
      <c r="A74" s="88"/>
      <c r="B74" s="89"/>
      <c r="C74" s="78"/>
      <c r="D74" s="89"/>
      <c r="E74" s="78"/>
      <c r="F74" s="89"/>
      <c r="G74" s="78"/>
      <c r="H74" s="89"/>
      <c r="I74" s="78"/>
      <c r="J74" s="89"/>
      <c r="K74" s="78"/>
      <c r="L74" s="93"/>
      <c r="M74" s="78"/>
      <c r="N74" s="90"/>
      <c r="O74" s="78"/>
      <c r="P74" s="89"/>
      <c r="Q74" s="78"/>
      <c r="R74" s="91"/>
      <c r="S74" s="78"/>
      <c r="T74" s="89"/>
      <c r="U74" s="78"/>
      <c r="V74" s="89"/>
      <c r="W74" s="78"/>
      <c r="X74" s="92"/>
      <c r="Y74" s="78"/>
      <c r="Z74" s="91"/>
      <c r="AA74" s="237"/>
      <c r="AB74" s="90"/>
      <c r="AC74" s="78"/>
      <c r="AD74" s="91"/>
      <c r="AE74" s="78"/>
      <c r="AF74" s="91"/>
      <c r="AG74" s="78"/>
      <c r="AH74" s="91"/>
      <c r="AI74" s="78"/>
      <c r="AJ74" s="89"/>
      <c r="AK74" s="78"/>
      <c r="AL74" s="91"/>
      <c r="AM74" s="78"/>
      <c r="AN74" s="9"/>
      <c r="AO74" s="94"/>
      <c r="AP74" s="95"/>
      <c r="AQ74" s="96"/>
      <c r="AR74" s="53"/>
      <c r="AS74" s="9"/>
      <c r="AT74" s="32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/>
      <c r="IA74" s="9"/>
      <c r="IB74" s="9"/>
      <c r="IC74" s="9"/>
      <c r="ID74" s="9"/>
      <c r="IE74" s="9"/>
      <c r="IF74" s="9"/>
      <c r="IG74" s="9"/>
      <c r="IH74" s="9"/>
      <c r="II74" s="9"/>
      <c r="IJ74" s="9"/>
      <c r="IK74" s="9"/>
      <c r="IL74" s="9"/>
      <c r="IM74" s="9"/>
      <c r="IN74" s="9"/>
      <c r="IO74" s="9"/>
      <c r="IP74" s="9"/>
      <c r="IQ74" s="9"/>
      <c r="IR74" s="9"/>
      <c r="IS74" s="9"/>
      <c r="IT74" s="9"/>
      <c r="IU74" s="9"/>
    </row>
    <row r="75" spans="1:255" ht="12" customHeight="1">
      <c r="A75" s="131"/>
      <c r="B75" s="3"/>
      <c r="C75" s="35" t="str">
        <f t="shared" ref="C75:C76" si="84">IF(B75="DNF","DNF",IF(B75&gt;0,B$78/B75*100,""))</f>
        <v/>
      </c>
      <c r="D75" s="3"/>
      <c r="E75" s="97" t="str">
        <f t="shared" ref="E75:E76" si="85">IF(D75="DNF","DNF",IF(D75&gt;0,D$78/D75*100,""))</f>
        <v/>
      </c>
      <c r="F75" s="3"/>
      <c r="G75" s="97" t="str">
        <f t="shared" ref="G75:G76" si="86">IF(F75="DNF","DNF",IF(F75&gt;0,F$78/F75*100,""))</f>
        <v/>
      </c>
      <c r="H75" s="98"/>
      <c r="I75" s="97" t="str">
        <f t="shared" ref="I75:I76" si="87">IF(H75="DNF","DNF",IF(H75&gt;0,H$78/H75*100,""))</f>
        <v/>
      </c>
      <c r="J75" s="99"/>
      <c r="K75" s="97" t="str">
        <f>IF(J75="DNF","DNF",IF(J75&gt;0,J$78/J75*100,""))</f>
        <v/>
      </c>
      <c r="L75" s="85"/>
      <c r="M75" s="97" t="str">
        <f t="shared" ref="M75:M76" si="88">IF(L75="DNF","DNF",IF(L75&gt;0,L$78/L75*100,""))</f>
        <v/>
      </c>
      <c r="N75" s="3"/>
      <c r="O75" s="97"/>
      <c r="P75" s="4"/>
      <c r="Q75" s="97" t="str">
        <f t="shared" ref="Q75:Q76" si="89">IF(P75="DNF","DNF",IF(P75&lt;&gt;"",P75/P$78*100,""))</f>
        <v/>
      </c>
      <c r="R75" s="98"/>
      <c r="S75" s="97" t="str">
        <f t="shared" ref="S75:S76" si="90">IF(R75="DNF","DNF",IF(R75&gt;0,R$78/R75*100,""))</f>
        <v/>
      </c>
      <c r="T75" s="100"/>
      <c r="U75" s="97"/>
      <c r="V75" s="98"/>
      <c r="W75" s="35" t="str">
        <f t="shared" ref="W75:W76" si="91">IF(V75="DNF","DNF",IF(V75&gt;0,V$78/V75*100,""))</f>
        <v/>
      </c>
      <c r="X75" s="4"/>
      <c r="Y75" s="97"/>
      <c r="Z75" s="101"/>
      <c r="AA75" s="199" t="str">
        <f t="shared" ref="AA75:AA76" si="92">IF(Z75="DNF","DNF",IF(Z75&gt;0,Z$78/Z75*100,""))</f>
        <v/>
      </c>
      <c r="AB75" s="142"/>
      <c r="AC75" s="97" t="str">
        <f t="shared" ref="AC75:AC76" si="93">IF(AB75="DNF","DNF",IF(AB75&gt;0,AB$78/AB75*100,""))</f>
        <v/>
      </c>
      <c r="AD75" s="3"/>
      <c r="AE75" s="97" t="str">
        <f t="shared" ref="AE75:AE76" si="94">IF(AD75="DNF","DNF",IF(AD75&gt;0,AD$78/AD75*100,""))</f>
        <v/>
      </c>
      <c r="AF75" s="98"/>
      <c r="AG75" s="97" t="str">
        <f t="shared" ref="AG75:AG76" si="95">IF(AF75="DNF","DNF",IF(AF75&gt;0,AF$78/AF75*100,""))</f>
        <v/>
      </c>
      <c r="AH75" s="3"/>
      <c r="AI75" s="97" t="str">
        <f t="shared" ref="AI75:AI76" si="96">IF(AH75="DNF","DNF",IF(AH75&gt;0,AH$78/AH75*100,""))</f>
        <v/>
      </c>
      <c r="AJ75" s="98"/>
      <c r="AK75" s="97" t="str">
        <f t="shared" ref="AK75:AK76" si="97">IF(AJ75="DNF","DNF",IF(AJ75&gt;0,AJ$78/AJ75*100,""))</f>
        <v/>
      </c>
      <c r="AL75" s="3"/>
      <c r="AM75" s="97" t="str">
        <f t="shared" ref="AM75:AM76" si="98">IF(AL75="DNF","DNF",IF(AL75&gt;0,AL$78/AL75*100,""))</f>
        <v/>
      </c>
      <c r="AN75" s="6"/>
      <c r="AO75" s="102"/>
      <c r="AP75" s="103"/>
      <c r="AQ75" s="104"/>
      <c r="AR75" s="57"/>
      <c r="AS75" s="6"/>
      <c r="AT75" s="8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  <c r="HW75" s="9"/>
      <c r="HX75" s="9"/>
      <c r="HY75" s="9"/>
      <c r="HZ75" s="9"/>
      <c r="IA75" s="9"/>
      <c r="IB75" s="9"/>
      <c r="IC75" s="9"/>
      <c r="ID75" s="9"/>
      <c r="IE75" s="9"/>
      <c r="IF75" s="9"/>
      <c r="IG75" s="9"/>
      <c r="IH75" s="9"/>
      <c r="II75" s="9"/>
      <c r="IJ75" s="9"/>
      <c r="IK75" s="9"/>
      <c r="IL75" s="9"/>
      <c r="IM75" s="9"/>
      <c r="IN75" s="9"/>
      <c r="IO75" s="9"/>
      <c r="IP75" s="9"/>
      <c r="IQ75" s="9"/>
      <c r="IR75" s="9"/>
      <c r="IS75" s="9"/>
      <c r="IT75" s="9"/>
      <c r="IU75" s="9"/>
    </row>
    <row r="76" spans="1:255" ht="12" customHeight="1">
      <c r="A76" s="130"/>
      <c r="B76" s="75"/>
      <c r="C76" s="105" t="str">
        <f t="shared" si="84"/>
        <v/>
      </c>
      <c r="D76" s="75"/>
      <c r="E76" s="105" t="str">
        <f t="shared" si="85"/>
        <v/>
      </c>
      <c r="F76" s="75"/>
      <c r="G76" s="105" t="str">
        <f t="shared" si="86"/>
        <v/>
      </c>
      <c r="H76" s="106"/>
      <c r="I76" s="105" t="str">
        <f t="shared" si="87"/>
        <v/>
      </c>
      <c r="J76" s="107"/>
      <c r="K76" s="105" t="str">
        <f>IF(J76="DNF","DNF",IF(J76&gt;0,J$78/J76*100,""))</f>
        <v/>
      </c>
      <c r="L76" s="91"/>
      <c r="M76" s="105" t="str">
        <f t="shared" si="88"/>
        <v/>
      </c>
      <c r="N76" s="75"/>
      <c r="O76" s="105" t="str">
        <f>IF(N76="DNF","DNF",IF(N76&gt;0,N$78/N76*100,""))</f>
        <v/>
      </c>
      <c r="P76" s="77"/>
      <c r="Q76" s="105" t="str">
        <f t="shared" si="89"/>
        <v/>
      </c>
      <c r="R76" s="106"/>
      <c r="S76" s="105" t="str">
        <f t="shared" si="90"/>
        <v/>
      </c>
      <c r="T76" s="108"/>
      <c r="U76" s="105"/>
      <c r="V76" s="106"/>
      <c r="W76" s="105" t="str">
        <f t="shared" si="91"/>
        <v/>
      </c>
      <c r="X76" s="77"/>
      <c r="Y76" s="105"/>
      <c r="Z76" s="106"/>
      <c r="AA76" s="167" t="str">
        <f t="shared" si="92"/>
        <v/>
      </c>
      <c r="AB76" s="91"/>
      <c r="AC76" s="105" t="str">
        <f t="shared" si="93"/>
        <v/>
      </c>
      <c r="AD76" s="75"/>
      <c r="AE76" s="105" t="str">
        <f t="shared" si="94"/>
        <v/>
      </c>
      <c r="AF76" s="106"/>
      <c r="AG76" s="105" t="str">
        <f t="shared" si="95"/>
        <v/>
      </c>
      <c r="AH76" s="75"/>
      <c r="AI76" s="105" t="str">
        <f t="shared" si="96"/>
        <v/>
      </c>
      <c r="AJ76" s="106"/>
      <c r="AK76" s="105" t="str">
        <f t="shared" si="97"/>
        <v/>
      </c>
      <c r="AL76" s="75"/>
      <c r="AM76" s="105" t="str">
        <f t="shared" si="98"/>
        <v/>
      </c>
      <c r="AN76" s="9"/>
      <c r="AO76" s="94"/>
      <c r="AP76" s="29"/>
      <c r="AQ76" s="30"/>
      <c r="AR76" s="53"/>
      <c r="AS76" s="9"/>
      <c r="AT76" s="32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  <c r="II76" s="9"/>
      <c r="IJ76" s="9"/>
      <c r="IK76" s="9"/>
      <c r="IL76" s="9"/>
      <c r="IM76" s="9"/>
      <c r="IN76" s="9"/>
      <c r="IO76" s="9"/>
      <c r="IP76" s="9"/>
      <c r="IQ76" s="9"/>
      <c r="IR76" s="9"/>
      <c r="IS76" s="9"/>
      <c r="IT76" s="9"/>
      <c r="IU76" s="9"/>
    </row>
    <row r="77" spans="1:255" ht="12" customHeight="1" thickBot="1">
      <c r="A77" s="59"/>
      <c r="B77" s="34"/>
      <c r="C77" s="35"/>
      <c r="D77" s="34"/>
      <c r="E77" s="35"/>
      <c r="F77" s="34"/>
      <c r="G77" s="35"/>
      <c r="H77" s="34"/>
      <c r="I77" s="35"/>
      <c r="J77" s="34"/>
      <c r="K77" s="35"/>
      <c r="L77" s="34"/>
      <c r="M77" s="35"/>
      <c r="N77" s="34"/>
      <c r="O77" s="35"/>
      <c r="P77" s="38"/>
      <c r="Q77" s="35"/>
      <c r="R77" s="34"/>
      <c r="S77" s="35"/>
      <c r="T77" s="5"/>
      <c r="U77" s="35"/>
      <c r="V77" s="34"/>
      <c r="W77" s="35"/>
      <c r="X77" s="38"/>
      <c r="Y77" s="35"/>
      <c r="Z77" s="34"/>
      <c r="AA77" s="199"/>
      <c r="AB77" s="230"/>
      <c r="AC77" s="35"/>
      <c r="AD77" s="34"/>
      <c r="AE77" s="35"/>
      <c r="AF77" s="34"/>
      <c r="AG77" s="35"/>
      <c r="AH77" s="34"/>
      <c r="AI77" s="35"/>
      <c r="AJ77" s="37"/>
      <c r="AK77" s="35"/>
      <c r="AL77" s="34"/>
      <c r="AM77" s="35"/>
      <c r="AN77" s="6"/>
      <c r="AO77" s="60"/>
      <c r="AP77" s="109"/>
      <c r="AQ77" s="110"/>
      <c r="AR77" s="7"/>
      <c r="AS77" s="6"/>
      <c r="AT77" s="8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9"/>
      <c r="IC77" s="9"/>
      <c r="ID77" s="9"/>
      <c r="IE77" s="9"/>
      <c r="IF77" s="9"/>
      <c r="IG77" s="9"/>
      <c r="IH77" s="9"/>
      <c r="II77" s="9"/>
      <c r="IJ77" s="9"/>
      <c r="IK77" s="9"/>
      <c r="IL77" s="9"/>
      <c r="IM77" s="9"/>
      <c r="IN77" s="9"/>
      <c r="IO77" s="9"/>
      <c r="IP77" s="9"/>
      <c r="IQ77" s="9"/>
      <c r="IR77" s="9"/>
      <c r="IS77" s="9"/>
      <c r="IT77" s="9"/>
      <c r="IU77" s="9"/>
    </row>
    <row r="78" spans="1:255" ht="12" customHeight="1" thickTop="1">
      <c r="A78" s="260" t="s">
        <v>64</v>
      </c>
      <c r="B78" s="23">
        <f>B$29</f>
        <v>3.5590277777777777E-3</v>
      </c>
      <c r="C78" s="63"/>
      <c r="D78" s="23">
        <f t="shared" ref="D78:R78" si="99">D$29</f>
        <v>2.9398148148148148E-3</v>
      </c>
      <c r="E78" s="63"/>
      <c r="F78" s="23">
        <f t="shared" si="99"/>
        <v>2.5828703703703704E-3</v>
      </c>
      <c r="G78" s="63"/>
      <c r="H78" s="23">
        <f t="shared" si="99"/>
        <v>1.5476851851851851E-3</v>
      </c>
      <c r="I78" s="63"/>
      <c r="J78" s="23">
        <f t="shared" si="99"/>
        <v>9.9120370370370378E-4</v>
      </c>
      <c r="K78" s="63"/>
      <c r="L78" s="23">
        <f t="shared" si="99"/>
        <v>1.2476851851851852E-3</v>
      </c>
      <c r="M78" s="63"/>
      <c r="N78" s="23">
        <f>N$29</f>
        <v>3.3900462962962968E-3</v>
      </c>
      <c r="O78" s="63"/>
      <c r="P78" s="70">
        <f>P$29</f>
        <v>32</v>
      </c>
      <c r="Q78" s="63"/>
      <c r="R78" s="23">
        <f t="shared" si="99"/>
        <v>2.5138888888888889E-4</v>
      </c>
      <c r="S78" s="63"/>
      <c r="T78" s="27">
        <f>MAX(T62:T71)</f>
        <v>11.2</v>
      </c>
      <c r="U78" s="261"/>
      <c r="V78" s="23">
        <f>V$29</f>
        <v>6.018518518518519E-4</v>
      </c>
      <c r="W78" s="63"/>
      <c r="X78" s="70">
        <f>X$29</f>
        <v>22</v>
      </c>
      <c r="Y78" s="63"/>
      <c r="Z78" s="23">
        <f t="shared" ref="Z78:AL78" si="100">Z$29</f>
        <v>9.9768518518518511E-5</v>
      </c>
      <c r="AA78" s="63"/>
      <c r="AB78" s="23">
        <f t="shared" si="100"/>
        <v>4.7256944444444446E-4</v>
      </c>
      <c r="AC78" s="63"/>
      <c r="AD78" s="23">
        <f t="shared" si="100"/>
        <v>6.5740740740740733E-4</v>
      </c>
      <c r="AE78" s="63"/>
      <c r="AF78" s="23">
        <f t="shared" si="100"/>
        <v>9.0046296296296304E-4</v>
      </c>
      <c r="AG78" s="63"/>
      <c r="AH78" s="23">
        <f t="shared" si="100"/>
        <v>1.1388888888888889E-3</v>
      </c>
      <c r="AI78" s="63"/>
      <c r="AJ78" s="23">
        <f t="shared" si="100"/>
        <v>3.2407407407407406E-3</v>
      </c>
      <c r="AK78" s="63"/>
      <c r="AL78" s="23">
        <f t="shared" si="100"/>
        <v>3.7418981481481483E-3</v>
      </c>
      <c r="AM78" s="63"/>
      <c r="AN78" s="9"/>
      <c r="AO78" s="9"/>
      <c r="AP78" s="9"/>
      <c r="AQ78" s="9"/>
      <c r="AR78" s="53"/>
      <c r="AS78" s="9"/>
      <c r="AT78" s="32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  <c r="HW78" s="9"/>
      <c r="HX78" s="9"/>
      <c r="HY78" s="9"/>
      <c r="HZ78" s="9"/>
      <c r="IA78" s="9"/>
      <c r="IB78" s="9"/>
      <c r="IC78" s="9"/>
      <c r="ID78" s="9"/>
      <c r="IE78" s="9"/>
      <c r="IF78" s="9"/>
      <c r="IG78" s="9"/>
      <c r="IH78" s="9"/>
      <c r="II78" s="9"/>
      <c r="IJ78" s="9"/>
      <c r="IK78" s="9"/>
      <c r="IL78" s="9"/>
      <c r="IM78" s="9"/>
      <c r="IN78" s="9"/>
      <c r="IO78" s="9"/>
      <c r="IP78" s="9"/>
      <c r="IQ78" s="9"/>
      <c r="IR78" s="9"/>
      <c r="IS78" s="9"/>
      <c r="IT78" s="9"/>
      <c r="IU78" s="9"/>
    </row>
    <row r="79" spans="1:255" ht="12" customHeight="1">
      <c r="A79" s="64" t="s">
        <v>28</v>
      </c>
      <c r="B79" s="1" t="str">
        <f t="array" ref="B79">INDEX($A$62:$A$73, MATCH(B80,B62:B73,0))</f>
        <v>UNH Men's</v>
      </c>
      <c r="C79" s="2"/>
      <c r="D79" s="1" t="str">
        <f t="array" ref="D79">INDEX($A$62:$A$73, MATCH(D80,D62:D73,0))</f>
        <v>Paul Smith's M1</v>
      </c>
      <c r="E79" s="2"/>
      <c r="F79" s="1" t="str">
        <f t="array" ref="F79">INDEX($A$62:$A$73, MATCH(F80,F62:F73,0))</f>
        <v>Paul Smith's M1</v>
      </c>
      <c r="G79" s="2"/>
      <c r="H79" s="1" t="str">
        <f t="array" ref="H79">INDEX($A$62:$A$73, MATCH(H80,H62:H73,0))</f>
        <v>Paul Smith's M1</v>
      </c>
      <c r="I79" s="2"/>
      <c r="J79" s="1" t="str">
        <f t="array" ref="J79">INDEX($A$62:$A$73, MATCH(J80,J62:J73,0))</f>
        <v>Paul Smith's M1</v>
      </c>
      <c r="K79" s="2"/>
      <c r="L79" s="1" t="str">
        <f>INDEX($A$62:$A$73, MATCH(L80,L62:L73,0))</f>
        <v>UNH Men's</v>
      </c>
      <c r="M79" s="2"/>
      <c r="N79" s="1" t="str">
        <f t="array" ref="N79">INDEX($A$62:$A$73, MATCH(N80,N62:N73,0))</f>
        <v>Paul Smith's M1</v>
      </c>
      <c r="O79" s="2"/>
      <c r="P79" s="1" t="str">
        <f t="array" ref="P79">INDEX($A$62:$A$73, MATCH(P80,P62:P73,0))</f>
        <v>Paul Smith's M1</v>
      </c>
      <c r="Q79" s="2"/>
      <c r="R79" s="1" t="str">
        <f t="array" ref="R79">INDEX($A$62:$A$73, MATCH(R80,R62:R73,0))</f>
        <v>Paul Smith's M1</v>
      </c>
      <c r="S79" s="2"/>
      <c r="T79" s="155" t="s">
        <v>65</v>
      </c>
      <c r="U79" s="111"/>
      <c r="V79" s="1" t="str">
        <f t="array" ref="V79">INDEX($A$62:$A$73, MATCH(V80,V62:V73,0))</f>
        <v>Dartmouth B</v>
      </c>
      <c r="W79" s="2"/>
      <c r="X79" s="1" t="str">
        <f>INDEX($A$62:$A$73, MATCH(X80,X62:X73,0))</f>
        <v>Paul Smith's M1</v>
      </c>
      <c r="Y79" s="2" t="s">
        <v>41</v>
      </c>
      <c r="Z79" s="1" t="str">
        <f t="array" ref="Z79">INDEX($A$62:$A$73, MATCH(Z80,Z62:Z73,0))</f>
        <v>UNH Men's</v>
      </c>
      <c r="AA79" s="143"/>
      <c r="AB79" s="181" t="str">
        <f>INDEX($A$62:$A$73, MATCH(AB80,AB62:AB73,0))</f>
        <v>Ranger Men's</v>
      </c>
      <c r="AC79" s="2"/>
      <c r="AD79" s="1" t="str">
        <f t="array" ref="AD79">INDEX($A$62:$A$73, MATCH(AD80,AD62:AD73,0))</f>
        <v>Paul Smith's M1</v>
      </c>
      <c r="AE79" s="2"/>
      <c r="AF79" s="1" t="str">
        <f t="array" ref="AF79">INDEX($A$62:$A$73, MATCH(AF80,AF62:AF73,0))</f>
        <v>Paul Smith's M1</v>
      </c>
      <c r="AG79" s="2"/>
      <c r="AH79" s="1" t="str">
        <f t="array" ref="AH79">INDEX($A$62:$A$73, MATCH(AH80,AH62:AH73,0))</f>
        <v>UNH Men's</v>
      </c>
      <c r="AI79" s="2"/>
      <c r="AJ79" s="1" t="str">
        <f>INDEX($A$62:$A$73, MATCH(AJ80,AJ62:AJ73,0))</f>
        <v>Paul Smith's M1</v>
      </c>
      <c r="AK79" s="2"/>
      <c r="AL79" s="1" t="str">
        <f>INDEX($A$62:$A$73, MATCH(AL80,AL62:AL73,0))</f>
        <v>Paul Smith's M1</v>
      </c>
      <c r="AM79" s="2"/>
      <c r="AN79" s="6"/>
      <c r="AO79" s="6"/>
      <c r="AP79" s="6"/>
      <c r="AQ79" s="6"/>
      <c r="AR79" s="57"/>
      <c r="AS79" s="6"/>
      <c r="AT79" s="8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  <c r="II79" s="9"/>
      <c r="IJ79" s="9"/>
      <c r="IK79" s="9"/>
      <c r="IL79" s="9"/>
      <c r="IM79" s="9"/>
      <c r="IN79" s="9"/>
      <c r="IO79" s="9"/>
      <c r="IP79" s="9"/>
      <c r="IQ79" s="9"/>
      <c r="IR79" s="9"/>
      <c r="IS79" s="9"/>
      <c r="IT79" s="9"/>
      <c r="IU79" s="9"/>
    </row>
    <row r="80" spans="1:255" ht="12" customHeight="1">
      <c r="A80" s="66" t="s">
        <v>29</v>
      </c>
      <c r="B80" s="14">
        <f>SMALL(B62:B73,1)</f>
        <v>3.6527777777777774E-3</v>
      </c>
      <c r="C80" s="68"/>
      <c r="D80" s="14">
        <f>SMALL(D62:D73,1)</f>
        <v>3.363425925925926E-3</v>
      </c>
      <c r="E80" s="68"/>
      <c r="F80" s="14">
        <f>SMALL(F62:F73,1)</f>
        <v>2.6815972222222224E-3</v>
      </c>
      <c r="G80" s="68"/>
      <c r="H80" s="14">
        <f>SMALL(H62:H73,1)</f>
        <v>1.3902777777777776E-3</v>
      </c>
      <c r="I80" s="68"/>
      <c r="J80" s="14">
        <f>SMALL(J62:J73,1)</f>
        <v>9.6851851851851862E-4</v>
      </c>
      <c r="K80" s="68"/>
      <c r="L80" s="14">
        <f>SMALL(L62:L73,1)</f>
        <v>1.0010416666666668E-3</v>
      </c>
      <c r="M80" s="68"/>
      <c r="N80" s="14">
        <f>SMALL(N62:N73,1)</f>
        <v>3.0208333333333333E-3</v>
      </c>
      <c r="O80" s="68"/>
      <c r="P80" s="15">
        <f>LARGE(P62:P73,1)</f>
        <v>37</v>
      </c>
      <c r="Q80" s="68"/>
      <c r="R80" s="14">
        <f>SMALL(R62:R73,1)</f>
        <v>2.587962962962963E-4</v>
      </c>
      <c r="S80" s="68"/>
      <c r="T80" s="11">
        <v>11.2</v>
      </c>
      <c r="U80" s="112"/>
      <c r="V80" s="14">
        <f>SMALL(V62:V73,1)</f>
        <v>1.1875E-3</v>
      </c>
      <c r="W80" s="68"/>
      <c r="X80" s="15">
        <f>LARGE(X62:X73,1)</f>
        <v>15</v>
      </c>
      <c r="Y80" s="68"/>
      <c r="Z80" s="14">
        <f>SMALL(Z62:Z73,1)</f>
        <v>1.0868055555555555E-4</v>
      </c>
      <c r="AA80" s="239"/>
      <c r="AB80" s="180">
        <f>SMALL(AB62:AB73,1)</f>
        <v>1.2163194444444446E-3</v>
      </c>
      <c r="AC80" s="68"/>
      <c r="AD80" s="14">
        <f>SMALL(AD62:AD73,1)</f>
        <v>6.5393518518518524E-4</v>
      </c>
      <c r="AE80" s="68"/>
      <c r="AF80" s="14">
        <f>SMALL(AF62:AF73,1)</f>
        <v>8.0092592592592585E-4</v>
      </c>
      <c r="AG80" s="68"/>
      <c r="AH80" s="14">
        <f>SMALL(AH62:AH73,1)</f>
        <v>1.4224537037037038E-3</v>
      </c>
      <c r="AI80" s="68"/>
      <c r="AJ80" s="14">
        <f>SMALL(AJ62:AJ73,1)</f>
        <v>2.646990740740741E-3</v>
      </c>
      <c r="AK80" s="68"/>
      <c r="AL80" s="14">
        <f>SMALL(AL62:AL73,1)</f>
        <v>3.3993055555555552E-3</v>
      </c>
      <c r="AM80" s="68"/>
      <c r="AN80" s="6"/>
      <c r="AO80" s="6"/>
      <c r="AP80" s="6"/>
      <c r="AQ80" s="6"/>
      <c r="AR80" s="57"/>
      <c r="AS80" s="6"/>
      <c r="AT80" s="8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  <c r="HW80" s="9"/>
      <c r="HX80" s="9"/>
      <c r="HY80" s="9"/>
      <c r="HZ80" s="9"/>
      <c r="IA80" s="9"/>
      <c r="IB80" s="9"/>
      <c r="IC80" s="9"/>
      <c r="ID80" s="9"/>
      <c r="IE80" s="9"/>
      <c r="IF80" s="9"/>
      <c r="IG80" s="9"/>
      <c r="IH80" s="9"/>
      <c r="II80" s="9"/>
      <c r="IJ80" s="9"/>
      <c r="IK80" s="9"/>
      <c r="IL80" s="9"/>
      <c r="IM80" s="9"/>
      <c r="IN80" s="9"/>
      <c r="IO80" s="9"/>
      <c r="IP80" s="9"/>
      <c r="IQ80" s="9"/>
      <c r="IR80" s="9"/>
      <c r="IS80" s="9"/>
      <c r="IT80" s="9"/>
      <c r="IU80" s="9"/>
    </row>
    <row r="81" spans="1:257" ht="12" customHeight="1">
      <c r="A81" s="69" t="s">
        <v>30</v>
      </c>
      <c r="B81" s="70" t="str">
        <f t="array" ref="B81">INDEX($A$62:$A$73, MATCH(B82,B62:B73,0))</f>
        <v>Paul Smith's M1</v>
      </c>
      <c r="C81" s="72"/>
      <c r="D81" s="70" t="str">
        <f t="array" ref="D81">INDEX($A$62:$A$73, MATCH(D82,D62:D73,0))</f>
        <v>Dartmouth B</v>
      </c>
      <c r="E81" s="72"/>
      <c r="F81" s="70" t="str">
        <f t="array" ref="F81">INDEX($A$62:$A$73, MATCH(F82,F62:F73,0))</f>
        <v>Paul Smith's M2</v>
      </c>
      <c r="G81" s="72"/>
      <c r="H81" s="70" t="str">
        <f t="array" ref="H81">INDEX($A$62:$A$73, MATCH(H82,H62:H73,0))</f>
        <v>UNH Men's</v>
      </c>
      <c r="I81" s="72"/>
      <c r="J81" s="70" t="str">
        <f t="array" ref="J81">INDEX($A$62:$A$73, MATCH(J82,J62:J73,0))</f>
        <v>Ranger Men's</v>
      </c>
      <c r="K81" s="72"/>
      <c r="L81" s="70" t="str">
        <f t="array" ref="L81">INDEX($A$62:$A$73, MATCH(L82,L62:L73,0))</f>
        <v>Dartmouth B</v>
      </c>
      <c r="M81" s="72"/>
      <c r="N81" s="70" t="str">
        <f t="array" ref="N81">INDEX($A$62:$A$73, MATCH(N82,N62:N73,0))</f>
        <v>Ranger Men's</v>
      </c>
      <c r="O81" s="72"/>
      <c r="P81" s="70" t="str">
        <f t="array" ref="P81">INDEX($A$62:$A$73, MATCH(P82,P62:P73,0))</f>
        <v>Dartmouth C</v>
      </c>
      <c r="Q81" s="72"/>
      <c r="R81" s="70" t="str">
        <f t="array" ref="R81">INDEX($A$62:$A$73, MATCH(R82,R62:R73,0))</f>
        <v>UNH Men's</v>
      </c>
      <c r="S81" s="72"/>
      <c r="T81" s="273" t="s">
        <v>26</v>
      </c>
      <c r="U81" s="113"/>
      <c r="V81" s="70" t="str">
        <f t="array" ref="V81">INDEX($A$62:$A$73, MATCH(V82,V62:V73,0))</f>
        <v>Dartmouth C</v>
      </c>
      <c r="W81" s="72"/>
      <c r="X81" s="22" t="s">
        <v>65</v>
      </c>
      <c r="Y81" s="72" t="s">
        <v>41</v>
      </c>
      <c r="Z81" s="70" t="str">
        <f t="array" ref="Z81">INDEX($A$62:$A$73, MATCH(Z82,Z62:Z73,0))</f>
        <v>Ranger Men's</v>
      </c>
      <c r="AA81" s="245"/>
      <c r="AB81" s="119" t="str">
        <f t="array" ref="AB81">INDEX($A$62:$A$73, MATCH(AB82,AB62:AB73,0))</f>
        <v>Paul Smith's M1</v>
      </c>
      <c r="AC81" s="72"/>
      <c r="AD81" s="275" t="str">
        <f>INDEX($A$62:$A$73, MATCH(AD82,AD62:AD73,0))</f>
        <v>Dartmouth B</v>
      </c>
      <c r="AE81" s="72"/>
      <c r="AF81" s="70" t="str">
        <f t="array" ref="AF81">INDEX($A$62:$A$73, MATCH(AF82,AF62:AF73,0))</f>
        <v>UNH Men's</v>
      </c>
      <c r="AG81" s="72"/>
      <c r="AH81" s="70" t="str">
        <f t="array" ref="AH81">INDEX($A$62:$A$73, MATCH(AH82,AH62:AH73,0))</f>
        <v>Paul Smith's M2</v>
      </c>
      <c r="AI81" s="72"/>
      <c r="AJ81" s="70" t="str">
        <f t="array" ref="AJ81">INDEX($A$62:$A$73, MATCH(AJ82,AJ62:AJ73,0))</f>
        <v>Dartmouth B</v>
      </c>
      <c r="AK81" s="72"/>
      <c r="AL81" s="70" t="str">
        <f t="array" ref="AL81">INDEX($A$62:$A$73, MATCH(AL82,AL62:AL73,0))</f>
        <v>Paul Smith's M2</v>
      </c>
      <c r="AM81" s="72"/>
      <c r="AN81" s="9"/>
      <c r="AO81" s="9"/>
      <c r="AP81" s="9"/>
      <c r="AQ81" s="9"/>
      <c r="AR81" s="73"/>
      <c r="AS81" s="9"/>
      <c r="AT81" s="32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9"/>
      <c r="IC81" s="9"/>
      <c r="ID81" s="9"/>
      <c r="IE81" s="9"/>
      <c r="IF81" s="9"/>
      <c r="IG81" s="9"/>
      <c r="IH81" s="9"/>
      <c r="II81" s="9"/>
      <c r="IJ81" s="9"/>
      <c r="IK81" s="9"/>
      <c r="IL81" s="9"/>
      <c r="IM81" s="9"/>
      <c r="IN81" s="9"/>
      <c r="IO81" s="9"/>
      <c r="IP81" s="9"/>
      <c r="IQ81" s="9"/>
      <c r="IR81" s="9"/>
      <c r="IS81" s="9"/>
      <c r="IT81" s="9"/>
      <c r="IU81" s="9"/>
    </row>
    <row r="82" spans="1:257" ht="12" customHeight="1">
      <c r="A82" s="74" t="s">
        <v>29</v>
      </c>
      <c r="B82" s="75">
        <f>SMALL(B62:B73,2)</f>
        <v>3.8831018518518516E-3</v>
      </c>
      <c r="C82" s="78"/>
      <c r="D82" s="75">
        <f>SMALL(D62:D73,2)</f>
        <v>3.623842592592593E-3</v>
      </c>
      <c r="E82" s="78"/>
      <c r="F82" s="75">
        <f>SMALL(F62:F73,2)</f>
        <v>2.7916666666666663E-3</v>
      </c>
      <c r="G82" s="78"/>
      <c r="H82" s="75">
        <f>SMALL(H62:H73,2)</f>
        <v>1.5957175925925924E-3</v>
      </c>
      <c r="I82" s="78"/>
      <c r="J82" s="75">
        <f>SMALL(J62:J73,2)</f>
        <v>1.6373842592592592E-3</v>
      </c>
      <c r="K82" s="78"/>
      <c r="L82" s="75">
        <f>SMALL(L62:L73,2)</f>
        <v>1.420138888888889E-3</v>
      </c>
      <c r="M82" s="78"/>
      <c r="N82" s="75">
        <f>SMALL(N62:N73,2)</f>
        <v>3.0752314814814813E-3</v>
      </c>
      <c r="O82" s="78"/>
      <c r="P82" s="77">
        <f>LARGE(P62:P73,2)</f>
        <v>34</v>
      </c>
      <c r="Q82" s="78"/>
      <c r="R82" s="75">
        <f>SMALL(R62:R73,2)</f>
        <v>2.7743055555555556E-4</v>
      </c>
      <c r="S82" s="78"/>
      <c r="T82" s="79">
        <v>3</v>
      </c>
      <c r="U82" s="114"/>
      <c r="V82" s="75">
        <f>SMALL(V62:V73,2)</f>
        <v>1.2094907407407408E-3</v>
      </c>
      <c r="W82" s="78"/>
      <c r="X82" s="77">
        <f>LARGE(X62:X73,2)</f>
        <v>15</v>
      </c>
      <c r="Y82" s="78"/>
      <c r="Z82" s="75">
        <f>SMALL(Z62:Z73,2)</f>
        <v>1.7824074074074075E-4</v>
      </c>
      <c r="AA82" s="237"/>
      <c r="AB82" s="91">
        <f>SMALL(AB62:AB73,2)</f>
        <v>1.3252314814814813E-3</v>
      </c>
      <c r="AC82" s="78"/>
      <c r="AD82" s="75">
        <f>SMALL(AD62:AD73,2)</f>
        <v>8.541666666666667E-4</v>
      </c>
      <c r="AE82" s="78"/>
      <c r="AF82" s="75">
        <f>SMALL(AF62:AF73,2)</f>
        <v>1.0497685185185187E-3</v>
      </c>
      <c r="AG82" s="78"/>
      <c r="AH82" s="75">
        <f>SMALL(AH62:AH73,2)</f>
        <v>2.5104166666666669E-3</v>
      </c>
      <c r="AI82" s="78"/>
      <c r="AJ82" s="75">
        <f>SMALL(AJ62:AJ73,2)</f>
        <v>3.3344907407407407E-3</v>
      </c>
      <c r="AK82" s="78"/>
      <c r="AL82" s="75">
        <f>SMALL(AL62:AL73,2)</f>
        <v>4.108796296296297E-3</v>
      </c>
      <c r="AM82" s="78"/>
      <c r="AN82" s="9"/>
      <c r="AO82" s="9"/>
      <c r="AP82" s="9"/>
      <c r="AQ82" s="9"/>
      <c r="AR82" s="73"/>
      <c r="AS82" s="9"/>
      <c r="AT82" s="32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  <c r="HW82" s="9"/>
      <c r="HX82" s="9"/>
      <c r="HY82" s="9"/>
      <c r="HZ82" s="9"/>
      <c r="IA82" s="9"/>
      <c r="IB82" s="9"/>
      <c r="IC82" s="9"/>
      <c r="ID82" s="9"/>
      <c r="IE82" s="9"/>
      <c r="IF82" s="9"/>
      <c r="IG82" s="9"/>
      <c r="IH82" s="9"/>
      <c r="II82" s="9"/>
      <c r="IJ82" s="9"/>
      <c r="IK82" s="9"/>
      <c r="IL82" s="9"/>
      <c r="IM82" s="9"/>
      <c r="IN82" s="9"/>
      <c r="IO82" s="9"/>
      <c r="IP82" s="9"/>
      <c r="IQ82" s="9"/>
      <c r="IR82" s="9"/>
      <c r="IS82" s="9"/>
      <c r="IT82" s="9"/>
      <c r="IU82" s="9"/>
    </row>
    <row r="83" spans="1:257" ht="12" customHeight="1">
      <c r="A83" s="64" t="s">
        <v>31</v>
      </c>
      <c r="B83" s="1" t="str">
        <f t="array" ref="B83">INDEX($A$62:$A$73, MATCH(B84,B62:B73,0))</f>
        <v>Ranger Men's</v>
      </c>
      <c r="C83" s="2"/>
      <c r="D83" s="1" t="str">
        <f t="array" ref="D83">INDEX($A$62:$A$73, MATCH(D84,D62:D73,0))</f>
        <v>UNH Men's</v>
      </c>
      <c r="E83" s="2"/>
      <c r="F83" s="1" t="str">
        <f t="array" ref="F83">INDEX($A$62:$A$73, MATCH(F84,F62:F73,0))</f>
        <v>UNH Men's</v>
      </c>
      <c r="G83" s="2"/>
      <c r="H83" s="1" t="str">
        <f t="array" ref="H83">INDEX($A$62:$A$73, MATCH(H84,H62:H73,0))</f>
        <v>Paul Smith's M2</v>
      </c>
      <c r="I83" s="2"/>
      <c r="J83" s="1" t="str">
        <f t="array" ref="J83">INDEX($A$62:$A$73, MATCH(J84,J62:J73,0))</f>
        <v>Paul Smith's M2</v>
      </c>
      <c r="K83" s="2"/>
      <c r="L83" s="1" t="str">
        <f t="array" ref="L83">INDEX($A$62:$A$73, MATCH(L84,L62:L73,0))</f>
        <v>Ranger Men's</v>
      </c>
      <c r="M83" s="2"/>
      <c r="N83" s="1" t="str">
        <f t="array" ref="N83">INDEX($A$62:$A$73, MATCH(N84,N62:N73,0))</f>
        <v>Paul Smith's M2</v>
      </c>
      <c r="O83" s="2"/>
      <c r="P83" s="1" t="str">
        <f t="array" ref="P83">INDEX($A$62:$A$73, MATCH(P84,P62:P73,0))</f>
        <v>Paul Smith's M2</v>
      </c>
      <c r="Q83" s="2"/>
      <c r="R83" s="1" t="str">
        <f t="array" ref="R83">INDEX($A$62:$A$73, MATCH(R84,R62:R73,0))</f>
        <v>Dartmouth B</v>
      </c>
      <c r="S83" s="2"/>
      <c r="T83" s="155" t="s">
        <v>59</v>
      </c>
      <c r="U83" s="111"/>
      <c r="V83" s="1" t="str">
        <f t="array" ref="V83">INDEX($A$62:$A$73, MATCH(V84,V62:V73,0))</f>
        <v>UNH Men's</v>
      </c>
      <c r="W83" s="2"/>
      <c r="X83" s="1" t="str">
        <f t="array" ref="X83">INDEX($A$62:$A$73, MATCH(X84,X62:X73,0))</f>
        <v>Paul Smith's M2</v>
      </c>
      <c r="Y83" s="2"/>
      <c r="Z83" s="1" t="str">
        <f t="array" ref="Z83">INDEX($A$62:$A$73, MATCH(Z84,Z62:Z73,0))</f>
        <v>Dartmouth C</v>
      </c>
      <c r="AA83" s="143"/>
      <c r="AB83" s="181" t="str">
        <f t="array" ref="AB83">INDEX($A$62:$A$73, MATCH(AB84,AB62:AB73,0))</f>
        <v>UNH Men's</v>
      </c>
      <c r="AC83" s="2"/>
      <c r="AD83" s="1" t="str">
        <f>INDEX($A$62:$A$73, MATCH(AD84,AD62:AD73,0))</f>
        <v>Paul Smith's M2</v>
      </c>
      <c r="AE83" s="2"/>
      <c r="AF83" s="1" t="str">
        <f t="array" ref="AF83">INDEX($A$62:$A$73, MATCH(AF84,AF62:AF73,0))</f>
        <v>Dartmouth B</v>
      </c>
      <c r="AG83" s="2"/>
      <c r="AH83" s="1" t="str">
        <f t="array" ref="AH83">INDEX($A$62:$A$73, MATCH(AH84,AH62:AH73,0))</f>
        <v>Ranger Men's</v>
      </c>
      <c r="AI83" s="2"/>
      <c r="AJ83" s="1" t="str">
        <f t="array" ref="AJ83">INDEX($A$62:$A$73, MATCH(AJ84,AJ62:AJ73,0))</f>
        <v>Dartmouth C</v>
      </c>
      <c r="AK83" s="2"/>
      <c r="AL83" s="1" t="str">
        <f t="array" ref="AL83">INDEX($A$62:$A$73, MATCH(AL84,AL62:AL73,0))</f>
        <v>Dartmouth B</v>
      </c>
      <c r="AM83" s="2"/>
      <c r="AN83" s="6"/>
      <c r="AO83" s="6"/>
      <c r="AP83" s="6"/>
      <c r="AQ83" s="6"/>
      <c r="AR83" s="7"/>
      <c r="AS83" s="6"/>
      <c r="AT83" s="8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</row>
    <row r="84" spans="1:257" ht="12" customHeight="1">
      <c r="A84" s="115" t="s">
        <v>29</v>
      </c>
      <c r="B84" s="34">
        <f>SMALL(B62:B73,3)</f>
        <v>4.3101851851851851E-3</v>
      </c>
      <c r="C84" s="116"/>
      <c r="D84" s="34">
        <f>SMALL(D62:D73,3)</f>
        <v>4.0509259259259257E-3</v>
      </c>
      <c r="E84" s="116"/>
      <c r="F84" s="34">
        <f>SMALL(F62:F73,3)</f>
        <v>3.0856481481481481E-3</v>
      </c>
      <c r="G84" s="116"/>
      <c r="H84" s="34">
        <f>SMALL(H62:H73,3)</f>
        <v>1.6131944444444442E-3</v>
      </c>
      <c r="I84" s="116"/>
      <c r="J84" s="34">
        <f>SMALL(J62:J73,3)</f>
        <v>2.1552083333333332E-3</v>
      </c>
      <c r="K84" s="116"/>
      <c r="L84" s="34">
        <f>SMALL(L62:L73,3)</f>
        <v>1.6631944444444446E-3</v>
      </c>
      <c r="M84" s="118"/>
      <c r="N84" s="34">
        <f>SMALL(N62:N73,3)</f>
        <v>3.3460648148148152E-3</v>
      </c>
      <c r="O84" s="116"/>
      <c r="P84" s="38">
        <f>LARGE(P62:P73,3)</f>
        <v>33</v>
      </c>
      <c r="Q84" s="116"/>
      <c r="R84" s="34">
        <f>SMALL(R62:R73,3)</f>
        <v>3.0694444444444443E-4</v>
      </c>
      <c r="S84" s="116"/>
      <c r="T84" s="5">
        <v>2.6</v>
      </c>
      <c r="U84" s="117"/>
      <c r="V84" s="34">
        <f>SMALL(V62:V73,3)</f>
        <v>1.224537037037037E-3</v>
      </c>
      <c r="W84" s="116"/>
      <c r="X84" s="38">
        <f>LARGE(X62:X73,3)</f>
        <v>13</v>
      </c>
      <c r="Y84" s="116"/>
      <c r="Z84" s="34">
        <f>SMALL(Z62:Z73,3)</f>
        <v>1.9826388888888888E-4</v>
      </c>
      <c r="AA84" s="246"/>
      <c r="AB84" s="230">
        <f>SMALL(AB62:AB73,3)</f>
        <v>1.4554398148148148E-3</v>
      </c>
      <c r="AC84" s="118"/>
      <c r="AD84" s="34">
        <f>SMALL(AD62:AD73,3)</f>
        <v>9.86111111111111E-4</v>
      </c>
      <c r="AE84" s="116"/>
      <c r="AF84" s="34">
        <f>SMALL(AF62:AF73,3)</f>
        <v>1.1712962962962964E-3</v>
      </c>
      <c r="AG84" s="116"/>
      <c r="AH84" s="34">
        <f>SMALL(AH62:AH73,3)</f>
        <v>2.5694444444444445E-3</v>
      </c>
      <c r="AI84" s="116"/>
      <c r="AJ84" s="34">
        <f>SMALL(AJ62:AJ73,3)</f>
        <v>4.2939814814814811E-3</v>
      </c>
      <c r="AK84" s="116"/>
      <c r="AL84" s="34">
        <f>SMALL(AL62:AL73,3)</f>
        <v>4.425925925925926E-3</v>
      </c>
      <c r="AM84" s="116"/>
      <c r="AN84" s="6"/>
      <c r="AO84" s="6"/>
      <c r="AP84" s="6"/>
      <c r="AQ84" s="6"/>
      <c r="AR84" s="7"/>
      <c r="AS84" s="6"/>
      <c r="AT84" s="8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  <c r="HW84" s="9"/>
      <c r="HX84" s="9"/>
      <c r="HY84" s="9"/>
      <c r="HZ84" s="9"/>
      <c r="IA84" s="9"/>
      <c r="IB84" s="9"/>
      <c r="IC84" s="9"/>
      <c r="ID84" s="9"/>
      <c r="IE84" s="9"/>
      <c r="IF84" s="9"/>
      <c r="IG84" s="9"/>
      <c r="IH84" s="9"/>
      <c r="II84" s="9"/>
      <c r="IJ84" s="9"/>
      <c r="IK84" s="9"/>
      <c r="IL84" s="9"/>
      <c r="IM84" s="9"/>
      <c r="IN84" s="9"/>
      <c r="IO84" s="9"/>
      <c r="IP84" s="9"/>
      <c r="IQ84" s="9"/>
      <c r="IR84" s="9"/>
      <c r="IS84" s="9"/>
      <c r="IT84" s="9"/>
      <c r="IU84" s="9"/>
    </row>
    <row r="85" spans="1:257" ht="12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84"/>
      <c r="O85" s="9"/>
      <c r="P85" s="9"/>
      <c r="Q85" s="9"/>
      <c r="R85" s="46"/>
      <c r="S85" s="9"/>
      <c r="T85" s="9"/>
      <c r="U85" s="9"/>
      <c r="V85" s="9"/>
      <c r="W85" s="9"/>
      <c r="X85" s="52"/>
      <c r="Y85" s="9"/>
      <c r="Z85" s="46"/>
      <c r="AA85" s="242"/>
      <c r="AB85" s="84"/>
      <c r="AC85" s="9"/>
      <c r="AD85" s="46"/>
      <c r="AE85" s="9"/>
      <c r="AF85" s="46"/>
      <c r="AG85" s="9"/>
      <c r="AH85" s="46"/>
      <c r="AI85" s="9"/>
      <c r="AJ85" s="9"/>
      <c r="AK85" s="9"/>
      <c r="AL85" s="46"/>
      <c r="AM85" s="9"/>
      <c r="AN85" s="9"/>
      <c r="AO85" s="9"/>
      <c r="AP85" s="9"/>
      <c r="AQ85" s="52"/>
      <c r="AR85" s="73"/>
      <c r="AS85" s="9"/>
      <c r="AT85" s="32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9"/>
      <c r="IC85" s="9"/>
      <c r="ID85" s="9"/>
      <c r="IE85" s="9"/>
      <c r="IF85" s="9"/>
      <c r="IG85" s="9"/>
      <c r="IH85" s="9"/>
      <c r="II85" s="9"/>
      <c r="IJ85" s="9"/>
      <c r="IK85" s="9"/>
      <c r="IL85" s="9"/>
      <c r="IM85" s="9"/>
      <c r="IN85" s="9"/>
      <c r="IO85" s="9"/>
      <c r="IP85" s="9"/>
      <c r="IQ85" s="9"/>
      <c r="IR85" s="9"/>
      <c r="IS85" s="9"/>
      <c r="IT85" s="9"/>
      <c r="IU85" s="9"/>
    </row>
    <row r="86" spans="1:257" ht="12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84"/>
      <c r="O86" s="9"/>
      <c r="P86" s="9"/>
      <c r="Q86" s="9"/>
      <c r="R86" s="46"/>
      <c r="S86" s="9"/>
      <c r="T86" s="9"/>
      <c r="U86" s="9"/>
      <c r="V86" s="9"/>
      <c r="W86" s="9"/>
      <c r="X86" s="52"/>
      <c r="Y86" s="9"/>
      <c r="Z86" s="46"/>
      <c r="AA86" s="9"/>
      <c r="AB86" s="84"/>
      <c r="AC86" s="9"/>
      <c r="AD86" s="46"/>
      <c r="AE86" s="9"/>
      <c r="AF86" s="46"/>
      <c r="AG86" s="9"/>
      <c r="AH86" s="46"/>
      <c r="AI86" s="9"/>
      <c r="AJ86" s="9"/>
      <c r="AK86" s="9"/>
      <c r="AL86" s="46"/>
      <c r="AM86" s="9"/>
      <c r="AN86" s="9"/>
      <c r="AO86" s="9"/>
      <c r="AP86" s="9"/>
      <c r="AQ86" s="52"/>
      <c r="AR86" s="73"/>
      <c r="AS86" s="9"/>
      <c r="AT86" s="32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  <c r="HW86" s="9"/>
      <c r="HX86" s="9"/>
      <c r="HY86" s="9"/>
      <c r="HZ86" s="9"/>
      <c r="IA86" s="9"/>
      <c r="IB86" s="9"/>
      <c r="IC86" s="9"/>
      <c r="ID86" s="9"/>
      <c r="IE86" s="9"/>
      <c r="IF86" s="9"/>
      <c r="IG86" s="9"/>
      <c r="IH86" s="9"/>
      <c r="II86" s="9"/>
      <c r="IJ86" s="9"/>
      <c r="IK86" s="9"/>
      <c r="IL86" s="9"/>
      <c r="IM86" s="9"/>
      <c r="IN86" s="9"/>
      <c r="IO86" s="9"/>
      <c r="IP86" s="9"/>
      <c r="IQ86" s="9"/>
      <c r="IR86" s="9"/>
      <c r="IS86" s="9"/>
      <c r="IT86" s="9"/>
      <c r="IU86" s="9"/>
    </row>
    <row r="87" spans="1:257" ht="12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  <c r="HW87" s="9"/>
      <c r="HX87" s="9"/>
      <c r="HY87" s="9"/>
      <c r="HZ87" s="9"/>
      <c r="IA87" s="9"/>
      <c r="IB87" s="9"/>
      <c r="IC87" s="9"/>
      <c r="ID87" s="9"/>
      <c r="IE87" s="9"/>
      <c r="IF87" s="9"/>
      <c r="IG87" s="9"/>
      <c r="IH87" s="9"/>
      <c r="II87" s="9"/>
      <c r="IJ87" s="9"/>
      <c r="IK87" s="9"/>
      <c r="IL87" s="9"/>
      <c r="IM87" s="9"/>
      <c r="IN87" s="9"/>
      <c r="IO87" s="9"/>
      <c r="IP87" s="9"/>
      <c r="IQ87" s="9"/>
      <c r="IR87" s="9"/>
      <c r="IS87" s="9"/>
      <c r="IT87" s="9"/>
      <c r="IU87" s="9"/>
      <c r="IV87" s="9"/>
      <c r="IW87" s="9"/>
    </row>
    <row r="88" spans="1:257" ht="12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  <c r="HW88" s="9"/>
      <c r="HX88" s="9"/>
      <c r="HY88" s="9"/>
      <c r="HZ88" s="9"/>
      <c r="IA88" s="9"/>
      <c r="IB88" s="9"/>
      <c r="IC88" s="9"/>
      <c r="ID88" s="9"/>
      <c r="IE88" s="9"/>
      <c r="IF88" s="9"/>
      <c r="IG88" s="9"/>
      <c r="IH88" s="9"/>
      <c r="II88" s="9"/>
      <c r="IJ88" s="9"/>
      <c r="IK88" s="9"/>
      <c r="IL88" s="9"/>
      <c r="IM88" s="9"/>
      <c r="IN88" s="9"/>
      <c r="IO88" s="9"/>
      <c r="IP88" s="9"/>
      <c r="IQ88" s="9"/>
      <c r="IR88" s="9"/>
      <c r="IS88" s="9"/>
      <c r="IT88" s="9"/>
      <c r="IU88" s="9"/>
      <c r="IV88" s="9"/>
      <c r="IW88" s="9"/>
    </row>
    <row r="89" spans="1:257" ht="12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9"/>
      <c r="IB89" s="9"/>
      <c r="IC89" s="9"/>
      <c r="ID89" s="9"/>
      <c r="IE89" s="9"/>
      <c r="IF89" s="9"/>
      <c r="IG89" s="9"/>
      <c r="IH89" s="9"/>
      <c r="II89" s="9"/>
      <c r="IJ89" s="9"/>
      <c r="IK89" s="9"/>
      <c r="IL89" s="9"/>
      <c r="IM89" s="9"/>
      <c r="IN89" s="9"/>
      <c r="IO89" s="9"/>
      <c r="IP89" s="9"/>
      <c r="IQ89" s="9"/>
      <c r="IR89" s="9"/>
      <c r="IS89" s="9"/>
      <c r="IT89" s="9"/>
      <c r="IU89" s="9"/>
      <c r="IV89" s="9"/>
      <c r="IW89" s="9"/>
    </row>
    <row r="90" spans="1:257" ht="12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  <c r="HW90" s="9"/>
      <c r="HX90" s="9"/>
      <c r="HY90" s="9"/>
      <c r="HZ90" s="9"/>
      <c r="IA90" s="9"/>
      <c r="IB90" s="9"/>
      <c r="IC90" s="9"/>
      <c r="ID90" s="9"/>
      <c r="IE90" s="9"/>
      <c r="IF90" s="9"/>
      <c r="IG90" s="9"/>
      <c r="IH90" s="9"/>
      <c r="II90" s="9"/>
      <c r="IJ90" s="9"/>
      <c r="IK90" s="9"/>
      <c r="IL90" s="9"/>
      <c r="IM90" s="9"/>
      <c r="IN90" s="9"/>
      <c r="IO90" s="9"/>
      <c r="IP90" s="9"/>
      <c r="IQ90" s="9"/>
      <c r="IR90" s="9"/>
      <c r="IS90" s="9"/>
      <c r="IT90" s="9"/>
      <c r="IU90" s="9"/>
      <c r="IV90" s="9"/>
      <c r="IW90" s="9"/>
    </row>
    <row r="91" spans="1:257" ht="12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9"/>
      <c r="IC91" s="9"/>
      <c r="ID91" s="9"/>
      <c r="IE91" s="9"/>
      <c r="IF91" s="9"/>
      <c r="IG91" s="9"/>
      <c r="IH91" s="9"/>
      <c r="II91" s="9"/>
      <c r="IJ91" s="9"/>
      <c r="IK91" s="9"/>
      <c r="IL91" s="9"/>
      <c r="IM91" s="9"/>
      <c r="IN91" s="9"/>
      <c r="IO91" s="9"/>
      <c r="IP91" s="9"/>
      <c r="IQ91" s="9"/>
      <c r="IR91" s="9"/>
      <c r="IS91" s="9"/>
      <c r="IT91" s="9"/>
      <c r="IU91" s="9"/>
      <c r="IV91" s="9"/>
      <c r="IW91" s="9"/>
    </row>
    <row r="92" spans="1:257" ht="12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  <c r="HW92" s="9"/>
      <c r="HX92" s="9"/>
      <c r="HY92" s="9"/>
      <c r="HZ92" s="9"/>
      <c r="IA92" s="9"/>
      <c r="IB92" s="9"/>
      <c r="IC92" s="9"/>
      <c r="ID92" s="9"/>
      <c r="IE92" s="9"/>
      <c r="IF92" s="9"/>
      <c r="IG92" s="9"/>
      <c r="IH92" s="9"/>
      <c r="II92" s="9"/>
      <c r="IJ92" s="9"/>
      <c r="IK92" s="9"/>
      <c r="IL92" s="9"/>
      <c r="IM92" s="9"/>
      <c r="IN92" s="9"/>
      <c r="IO92" s="9"/>
      <c r="IP92" s="9"/>
      <c r="IQ92" s="9"/>
      <c r="IR92" s="9"/>
      <c r="IS92" s="9"/>
      <c r="IT92" s="9"/>
      <c r="IU92" s="9"/>
      <c r="IV92" s="9"/>
      <c r="IW92" s="9"/>
    </row>
    <row r="93" spans="1:257" ht="12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9"/>
      <c r="IC93" s="9"/>
      <c r="ID93" s="9"/>
      <c r="IE93" s="9"/>
      <c r="IF93" s="9"/>
      <c r="IG93" s="9"/>
      <c r="IH93" s="9"/>
      <c r="II93" s="9"/>
      <c r="IJ93" s="9"/>
      <c r="IK93" s="9"/>
      <c r="IL93" s="9"/>
      <c r="IM93" s="9"/>
      <c r="IN93" s="9"/>
      <c r="IO93" s="9"/>
      <c r="IP93" s="9"/>
      <c r="IQ93" s="9"/>
      <c r="IR93" s="9"/>
      <c r="IS93" s="9"/>
      <c r="IT93" s="9"/>
      <c r="IU93" s="9"/>
      <c r="IV93" s="9"/>
      <c r="IW93" s="9"/>
    </row>
    <row r="94" spans="1:257" ht="12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  <c r="HW94" s="9"/>
      <c r="HX94" s="9"/>
      <c r="HY94" s="9"/>
      <c r="HZ94" s="9"/>
      <c r="IA94" s="9"/>
      <c r="IB94" s="9"/>
      <c r="IC94" s="9"/>
      <c r="ID94" s="9"/>
      <c r="IE94" s="9"/>
      <c r="IF94" s="9"/>
      <c r="IG94" s="9"/>
      <c r="IH94" s="9"/>
      <c r="II94" s="9"/>
      <c r="IJ94" s="9"/>
      <c r="IK94" s="9"/>
      <c r="IL94" s="9"/>
      <c r="IM94" s="9"/>
      <c r="IN94" s="9"/>
      <c r="IO94" s="9"/>
      <c r="IP94" s="9"/>
      <c r="IQ94" s="9"/>
      <c r="IR94" s="9"/>
      <c r="IS94" s="9"/>
      <c r="IT94" s="9"/>
      <c r="IU94" s="9"/>
      <c r="IV94" s="9"/>
      <c r="IW94" s="9"/>
    </row>
    <row r="95" spans="1:257" ht="12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  <c r="HJ95" s="9"/>
      <c r="HK95" s="9"/>
      <c r="HL95" s="9"/>
      <c r="HM95" s="9"/>
      <c r="HN95" s="9"/>
      <c r="HO95" s="9"/>
      <c r="HP95" s="9"/>
      <c r="HQ95" s="9"/>
      <c r="HR95" s="9"/>
      <c r="HS95" s="9"/>
      <c r="HT95" s="9"/>
      <c r="HU95" s="9"/>
      <c r="HV95" s="9"/>
      <c r="HW95" s="9"/>
      <c r="HX95" s="9"/>
      <c r="HY95" s="9"/>
      <c r="HZ95" s="9"/>
      <c r="IA95" s="9"/>
      <c r="IB95" s="9"/>
      <c r="IC95" s="9"/>
      <c r="ID95" s="9"/>
      <c r="IE95" s="9"/>
      <c r="IF95" s="9"/>
      <c r="IG95" s="9"/>
      <c r="IH95" s="9"/>
      <c r="II95" s="9"/>
      <c r="IJ95" s="9"/>
      <c r="IK95" s="9"/>
      <c r="IL95" s="9"/>
      <c r="IM95" s="9"/>
      <c r="IN95" s="9"/>
      <c r="IO95" s="9"/>
      <c r="IP95" s="9"/>
      <c r="IQ95" s="9"/>
      <c r="IR95" s="9"/>
      <c r="IS95" s="9"/>
      <c r="IT95" s="9"/>
      <c r="IU95" s="9"/>
      <c r="IV95" s="9"/>
      <c r="IW95" s="9"/>
    </row>
    <row r="96" spans="1:257" ht="12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9"/>
      <c r="IB96" s="9"/>
      <c r="IC96" s="9"/>
      <c r="ID96" s="9"/>
      <c r="IE96" s="9"/>
      <c r="IF96" s="9"/>
      <c r="IG96" s="9"/>
      <c r="IH96" s="9"/>
      <c r="II96" s="9"/>
      <c r="IJ96" s="9"/>
      <c r="IK96" s="9"/>
      <c r="IL96" s="9"/>
      <c r="IM96" s="9"/>
      <c r="IN96" s="9"/>
      <c r="IO96" s="9"/>
      <c r="IP96" s="9"/>
      <c r="IQ96" s="9"/>
      <c r="IR96" s="9"/>
      <c r="IS96" s="9"/>
      <c r="IT96" s="9"/>
      <c r="IU96" s="9"/>
      <c r="IV96" s="9"/>
      <c r="IW96" s="9"/>
    </row>
    <row r="97" spans="1:257" ht="12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  <c r="II97" s="9"/>
      <c r="IJ97" s="9"/>
      <c r="IK97" s="9"/>
      <c r="IL97" s="9"/>
      <c r="IM97" s="9"/>
      <c r="IN97" s="9"/>
      <c r="IO97" s="9"/>
      <c r="IP97" s="9"/>
      <c r="IQ97" s="9"/>
      <c r="IR97" s="9"/>
      <c r="IS97" s="9"/>
      <c r="IT97" s="9"/>
      <c r="IU97" s="9"/>
      <c r="IV97" s="9"/>
      <c r="IW97" s="9"/>
    </row>
    <row r="98" spans="1:257" ht="12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  <c r="IQ98" s="9"/>
      <c r="IR98" s="9"/>
      <c r="IS98" s="9"/>
      <c r="IT98" s="9"/>
      <c r="IU98" s="9"/>
      <c r="IV98" s="9"/>
      <c r="IW98" s="9"/>
    </row>
    <row r="99" spans="1:257" ht="12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  <c r="IV99" s="9"/>
      <c r="IW99" s="9"/>
    </row>
    <row r="100" spans="1:257" ht="12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  <c r="IQ100" s="9"/>
      <c r="IR100" s="9"/>
      <c r="IS100" s="9"/>
      <c r="IT100" s="9"/>
      <c r="IU100" s="9"/>
      <c r="IV100" s="9"/>
      <c r="IW100" s="9"/>
    </row>
    <row r="101" spans="1:257" ht="12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  <c r="II101" s="9"/>
      <c r="IJ101" s="9"/>
      <c r="IK101" s="9"/>
      <c r="IL101" s="9"/>
      <c r="IM101" s="9"/>
      <c r="IN101" s="9"/>
      <c r="IO101" s="9"/>
      <c r="IP101" s="9"/>
      <c r="IQ101" s="9"/>
      <c r="IR101" s="9"/>
      <c r="IS101" s="9"/>
      <c r="IT101" s="9"/>
      <c r="IU101" s="9"/>
      <c r="IV101" s="9"/>
      <c r="IW101" s="9"/>
    </row>
    <row r="102" spans="1:257" ht="12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  <c r="II102" s="9"/>
      <c r="IJ102" s="9"/>
      <c r="IK102" s="9"/>
      <c r="IL102" s="9"/>
      <c r="IM102" s="9"/>
      <c r="IN102" s="9"/>
      <c r="IO102" s="9"/>
      <c r="IP102" s="9"/>
      <c r="IQ102" s="9"/>
      <c r="IR102" s="9"/>
      <c r="IS102" s="9"/>
      <c r="IT102" s="9"/>
      <c r="IU102" s="9"/>
      <c r="IV102" s="9"/>
      <c r="IW102" s="9"/>
    </row>
    <row r="103" spans="1:257" ht="12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IC103" s="9"/>
      <c r="ID103" s="9"/>
      <c r="IE103" s="9"/>
      <c r="IF103" s="9"/>
      <c r="IG103" s="9"/>
      <c r="IH103" s="9"/>
      <c r="II103" s="9"/>
      <c r="IJ103" s="9"/>
      <c r="IK103" s="9"/>
      <c r="IL103" s="9"/>
      <c r="IM103" s="9"/>
      <c r="IN103" s="9"/>
      <c r="IO103" s="9"/>
      <c r="IP103" s="9"/>
      <c r="IQ103" s="9"/>
      <c r="IR103" s="9"/>
      <c r="IS103" s="9"/>
      <c r="IT103" s="9"/>
      <c r="IU103" s="9"/>
      <c r="IV103" s="9"/>
      <c r="IW103" s="9"/>
    </row>
    <row r="104" spans="1:257" ht="12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84"/>
      <c r="O104" s="82"/>
      <c r="P104" s="9"/>
      <c r="Q104" s="82"/>
      <c r="R104" s="9"/>
      <c r="S104" s="82"/>
      <c r="T104" s="46"/>
      <c r="U104" s="82"/>
      <c r="V104" s="9"/>
      <c r="W104" s="82"/>
      <c r="X104" s="9"/>
      <c r="Y104" s="82"/>
      <c r="Z104" s="52"/>
      <c r="AA104" s="82"/>
      <c r="AB104" s="46"/>
      <c r="AC104" s="82"/>
      <c r="AD104" s="84"/>
      <c r="AE104" s="82"/>
      <c r="AF104" s="46"/>
      <c r="AG104" s="82"/>
      <c r="AH104" s="46"/>
      <c r="AI104" s="82"/>
      <c r="AJ104" s="46"/>
      <c r="AK104" s="82"/>
      <c r="AL104" s="9"/>
      <c r="AM104" s="9"/>
      <c r="AN104" s="82"/>
      <c r="AO104" s="82"/>
      <c r="AP104" s="9"/>
      <c r="AQ104" s="9"/>
      <c r="AR104" s="82"/>
      <c r="AS104" s="83"/>
      <c r="AT104" s="73"/>
      <c r="AU104" s="9"/>
      <c r="AV104" s="32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  <c r="II104" s="9"/>
      <c r="IJ104" s="9"/>
      <c r="IK104" s="9"/>
      <c r="IL104" s="9"/>
      <c r="IM104" s="9"/>
      <c r="IN104" s="9"/>
      <c r="IO104" s="9"/>
      <c r="IP104" s="9"/>
      <c r="IQ104" s="9"/>
      <c r="IR104" s="9"/>
      <c r="IS104" s="9"/>
      <c r="IT104" s="9"/>
      <c r="IU104" s="9"/>
      <c r="IV104" s="9"/>
      <c r="IW104" s="9"/>
    </row>
    <row r="105" spans="1:257" ht="12" customHeight="1">
      <c r="A105" s="9"/>
      <c r="B105" s="166" t="s">
        <v>50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84"/>
      <c r="O105" s="82"/>
      <c r="P105" s="9"/>
      <c r="Q105" s="82"/>
      <c r="R105" s="9"/>
      <c r="S105" s="82"/>
      <c r="T105" s="46"/>
      <c r="U105" s="82"/>
      <c r="V105" s="9"/>
      <c r="W105" s="82"/>
      <c r="X105" s="9"/>
      <c r="Y105" s="82"/>
      <c r="Z105" s="52"/>
      <c r="AA105" s="82"/>
      <c r="AB105" s="46"/>
      <c r="AC105" s="82"/>
      <c r="AD105" s="84"/>
      <c r="AE105" s="82"/>
      <c r="AF105" s="46"/>
      <c r="AG105" s="82"/>
      <c r="AH105" s="46"/>
      <c r="AI105" s="82"/>
      <c r="AJ105" s="46"/>
      <c r="AK105" s="82"/>
      <c r="AL105" s="9"/>
      <c r="AM105" s="9"/>
      <c r="AN105" s="82"/>
      <c r="AO105" s="82"/>
      <c r="AP105" s="9"/>
      <c r="AQ105" s="9"/>
      <c r="AR105" s="82"/>
      <c r="AS105" s="83"/>
      <c r="AT105" s="73"/>
      <c r="AU105" s="9"/>
      <c r="AV105" s="32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  <c r="II105" s="9"/>
      <c r="IJ105" s="9"/>
      <c r="IK105" s="9"/>
      <c r="IL105" s="9"/>
      <c r="IM105" s="9"/>
      <c r="IN105" s="9"/>
      <c r="IO105" s="9"/>
      <c r="IP105" s="9"/>
      <c r="IQ105" s="9"/>
      <c r="IR105" s="9"/>
      <c r="IS105" s="9"/>
      <c r="IT105" s="9"/>
      <c r="IU105" s="9"/>
      <c r="IV105" s="9"/>
      <c r="IW105" s="9"/>
    </row>
  </sheetData>
  <printOptions verticalCentered="1"/>
  <pageMargins left="0.7" right="0.7" top="0.75" bottom="0.75" header="0" footer="0"/>
  <pageSetup scale="72" pageOrder="overThenDown" orientation="landscape"/>
  <headerFooter>
    <oddHeader>&amp;CDartmouth Woodsman's Weekend 2015 - Official Results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2"/>
  <sheetViews>
    <sheetView zoomScale="156" workbookViewId="0">
      <selection activeCell="B37" sqref="B37"/>
    </sheetView>
  </sheetViews>
  <sheetFormatPr baseColWidth="10" defaultColWidth="12.6640625" defaultRowHeight="15" customHeight="1"/>
  <cols>
    <col min="1" max="1" width="21.83203125" customWidth="1"/>
    <col min="2" max="2" width="8.6640625" customWidth="1"/>
    <col min="3" max="3" width="15.83203125" customWidth="1"/>
    <col min="4" max="11" width="8.83203125" customWidth="1"/>
  </cols>
  <sheetData>
    <row r="1" spans="1:5" ht="12.75" customHeight="1">
      <c r="A1" s="131" t="s">
        <v>33</v>
      </c>
      <c r="B1" s="121" t="s">
        <v>36</v>
      </c>
      <c r="C1" s="122" t="s">
        <v>37</v>
      </c>
      <c r="D1" s="123"/>
    </row>
    <row r="2" spans="1:5" ht="12.75" customHeight="1">
      <c r="A2" s="10" t="s">
        <v>15</v>
      </c>
      <c r="B2" s="124"/>
      <c r="C2" s="125"/>
    </row>
    <row r="3" spans="1:5" ht="12.75" customHeight="1">
      <c r="A3" s="22" t="s">
        <v>42</v>
      </c>
      <c r="B3" s="124">
        <v>2.5</v>
      </c>
      <c r="C3" s="125">
        <f>B3/$B$9*80</f>
        <v>27.777777777777779</v>
      </c>
    </row>
    <row r="4" spans="1:5" ht="12.75" customHeight="1">
      <c r="A4" s="33" t="s">
        <v>25</v>
      </c>
      <c r="B4" s="124">
        <v>3.5</v>
      </c>
      <c r="C4" s="125">
        <f t="shared" ref="C4:C14" si="0">B4/$B$9*80</f>
        <v>38.888888888888886</v>
      </c>
      <c r="E4" s="132"/>
    </row>
    <row r="5" spans="1:5" ht="12.75" customHeight="1">
      <c r="A5" s="255" t="s">
        <v>52</v>
      </c>
      <c r="B5" s="124">
        <v>70</v>
      </c>
      <c r="C5" s="125">
        <v>100</v>
      </c>
      <c r="E5" s="125"/>
    </row>
    <row r="6" spans="1:5" ht="12.75" customHeight="1">
      <c r="A6" s="33" t="s">
        <v>51</v>
      </c>
      <c r="B6" s="124">
        <v>40.5</v>
      </c>
      <c r="C6" s="125">
        <v>90</v>
      </c>
      <c r="D6" s="126"/>
    </row>
    <row r="7" spans="1:5" ht="12.75" customHeight="1">
      <c r="A7" s="22" t="s">
        <v>54</v>
      </c>
      <c r="B7" s="124">
        <v>2.5</v>
      </c>
      <c r="C7" s="125">
        <f t="shared" si="0"/>
        <v>27.777777777777779</v>
      </c>
      <c r="D7" s="126"/>
    </row>
    <row r="8" spans="1:5" ht="12.75" customHeight="1">
      <c r="A8" s="33" t="s">
        <v>56</v>
      </c>
      <c r="B8" s="124">
        <v>3.1</v>
      </c>
      <c r="C8" s="125">
        <f t="shared" si="0"/>
        <v>34.444444444444443</v>
      </c>
      <c r="D8" s="126"/>
    </row>
    <row r="9" spans="1:5" ht="12.75" customHeight="1">
      <c r="A9" s="22" t="s">
        <v>35</v>
      </c>
      <c r="B9" s="124">
        <v>7.2</v>
      </c>
      <c r="C9" s="125">
        <v>80</v>
      </c>
      <c r="D9" s="126"/>
    </row>
    <row r="10" spans="1:5" ht="12.75" customHeight="1">
      <c r="A10" s="33" t="s">
        <v>43</v>
      </c>
      <c r="B10" s="124">
        <v>3.1</v>
      </c>
      <c r="C10" s="125">
        <f t="shared" si="0"/>
        <v>34.444444444444443</v>
      </c>
    </row>
    <row r="11" spans="1:5" ht="12.75" customHeight="1">
      <c r="A11" s="254" t="s">
        <v>53</v>
      </c>
      <c r="B11" s="124">
        <v>2.4</v>
      </c>
      <c r="C11" s="125">
        <f t="shared" si="0"/>
        <v>26.666666666666664</v>
      </c>
    </row>
    <row r="12" spans="1:5" ht="12.75" customHeight="1">
      <c r="A12" s="256" t="s">
        <v>55</v>
      </c>
      <c r="B12" s="124">
        <v>3.9</v>
      </c>
      <c r="C12" s="125">
        <f t="shared" si="0"/>
        <v>43.333333333333329</v>
      </c>
    </row>
    <row r="13" spans="1:5" ht="12.75" customHeight="1">
      <c r="A13" s="254" t="s">
        <v>57</v>
      </c>
      <c r="B13" s="124">
        <v>43.1</v>
      </c>
      <c r="C13" s="125">
        <v>85</v>
      </c>
    </row>
    <row r="14" spans="1:5" ht="12.75" customHeight="1">
      <c r="A14" s="256" t="s">
        <v>44</v>
      </c>
      <c r="B14" s="124">
        <v>2.1</v>
      </c>
      <c r="C14" s="125">
        <f t="shared" si="0"/>
        <v>23.333333333333336</v>
      </c>
    </row>
    <row r="15" spans="1:5" ht="12.75" customHeight="1">
      <c r="A15" s="22"/>
      <c r="B15" s="124"/>
      <c r="C15" s="125"/>
    </row>
    <row r="16" spans="1:5" ht="12.75" customHeight="1">
      <c r="A16" s="33"/>
      <c r="B16" s="124"/>
      <c r="C16" s="125"/>
    </row>
    <row r="17" spans="1:4" ht="12.75" customHeight="1">
      <c r="A17" s="22"/>
      <c r="B17" s="124"/>
      <c r="C17" s="125"/>
    </row>
    <row r="18" spans="1:4" ht="12.75" customHeight="1">
      <c r="A18" s="33"/>
      <c r="B18" s="124"/>
      <c r="C18" s="125"/>
    </row>
    <row r="19" spans="1:4" ht="12.75" customHeight="1">
      <c r="A19" s="253" t="s">
        <v>46</v>
      </c>
      <c r="B19" s="124">
        <v>1.4</v>
      </c>
      <c r="C19" s="125">
        <f>B19/$B$9*80</f>
        <v>15.555555555555554</v>
      </c>
    </row>
    <row r="20" spans="1:4" ht="12.75" customHeight="1">
      <c r="A20" s="158" t="s">
        <v>38</v>
      </c>
      <c r="B20" s="124"/>
      <c r="C20" s="125">
        <f t="shared" ref="C20:C21" si="1">B20/$B$9*80</f>
        <v>0</v>
      </c>
    </row>
    <row r="21" spans="1:4" ht="12.75" customHeight="1">
      <c r="A21" s="166" t="s">
        <v>47</v>
      </c>
      <c r="B21" s="124">
        <v>1.7</v>
      </c>
      <c r="C21" s="125">
        <f t="shared" si="1"/>
        <v>18.888888888888889</v>
      </c>
    </row>
    <row r="22" spans="1:4" ht="12.75" customHeight="1">
      <c r="A22" s="33"/>
      <c r="B22" s="124"/>
      <c r="C22" s="126"/>
    </row>
    <row r="23" spans="1:4" ht="12.75" customHeight="1">
      <c r="A23" s="22"/>
      <c r="B23" s="124"/>
      <c r="C23" s="126"/>
    </row>
    <row r="24" spans="1:4" ht="12.75" customHeight="1">
      <c r="A24" s="11"/>
      <c r="B24" s="124"/>
      <c r="C24" s="125"/>
    </row>
    <row r="25" spans="1:4" ht="12.75" customHeight="1">
      <c r="A25" s="58"/>
      <c r="B25" s="124"/>
      <c r="C25" s="125"/>
    </row>
    <row r="26" spans="1:4" ht="12.75" customHeight="1">
      <c r="A26" s="59"/>
      <c r="B26" s="124"/>
      <c r="C26" s="126"/>
    </row>
    <row r="27" spans="1:4" ht="12.75" customHeight="1">
      <c r="A27" s="58"/>
      <c r="B27" s="124"/>
      <c r="C27" s="126"/>
    </row>
    <row r="28" spans="1:4" ht="12.75" customHeight="1">
      <c r="A28" s="59"/>
      <c r="B28" s="121"/>
      <c r="C28" s="122"/>
    </row>
    <row r="29" spans="1:4" ht="12.75" customHeight="1">
      <c r="A29" s="61" t="s">
        <v>75</v>
      </c>
      <c r="B29" s="124"/>
      <c r="C29" s="125"/>
    </row>
    <row r="30" spans="1:4" ht="12.75" customHeight="1">
      <c r="A30" s="64" t="s">
        <v>28</v>
      </c>
      <c r="B30" s="276" t="s">
        <v>52</v>
      </c>
      <c r="D30" s="126"/>
    </row>
    <row r="31" spans="1:4" ht="12.75" customHeight="1">
      <c r="A31" s="66" t="s">
        <v>29</v>
      </c>
      <c r="B31" s="125"/>
      <c r="D31" s="126"/>
    </row>
    <row r="32" spans="1:4" ht="12.75" customHeight="1">
      <c r="A32" s="69" t="s">
        <v>30</v>
      </c>
      <c r="B32" s="276" t="s">
        <v>51</v>
      </c>
      <c r="D32" s="126"/>
    </row>
    <row r="33" spans="1:4" ht="12.75" customHeight="1">
      <c r="A33" s="74" t="s">
        <v>29</v>
      </c>
      <c r="B33" s="125"/>
    </row>
    <row r="34" spans="1:4" ht="12.75" customHeight="1">
      <c r="A34" s="64" t="s">
        <v>31</v>
      </c>
      <c r="B34" s="276" t="s">
        <v>57</v>
      </c>
    </row>
    <row r="35" spans="1:4" ht="12.75" customHeight="1">
      <c r="A35" s="66" t="s">
        <v>29</v>
      </c>
      <c r="B35" s="124"/>
      <c r="C35" s="125"/>
      <c r="D35" s="126"/>
    </row>
    <row r="36" spans="1:4" ht="12.75" customHeight="1">
      <c r="A36" s="64" t="s">
        <v>76</v>
      </c>
      <c r="B36" s="124" t="s">
        <v>35</v>
      </c>
      <c r="C36" s="125"/>
      <c r="D36" s="126"/>
    </row>
    <row r="37" spans="1:4" ht="12.75" customHeight="1">
      <c r="A37" s="277" t="s">
        <v>29</v>
      </c>
      <c r="B37" s="124"/>
      <c r="C37" s="125"/>
      <c r="D37" s="126"/>
    </row>
    <row r="38" spans="1:4" ht="12.75" customHeight="1">
      <c r="A38" s="127"/>
      <c r="B38" s="124"/>
      <c r="C38" s="125"/>
    </row>
    <row r="39" spans="1:4" ht="12.75" customHeight="1">
      <c r="A39" s="131" t="s">
        <v>63</v>
      </c>
      <c r="B39" s="124"/>
      <c r="C39" s="125"/>
    </row>
    <row r="40" spans="1:4" ht="12.75" customHeight="1">
      <c r="A40" s="10" t="s">
        <v>15</v>
      </c>
      <c r="B40" s="124"/>
      <c r="C40" s="125"/>
    </row>
    <row r="41" spans="1:4" ht="12.75" customHeight="1">
      <c r="A41" s="22" t="s">
        <v>26</v>
      </c>
      <c r="B41" s="124">
        <v>3</v>
      </c>
      <c r="C41" s="125">
        <f>B41/$B$43*100</f>
        <v>26.785714285714285</v>
      </c>
    </row>
    <row r="42" spans="1:4" ht="12.75" customHeight="1">
      <c r="A42" s="33" t="s">
        <v>59</v>
      </c>
      <c r="B42" s="124">
        <v>2.6</v>
      </c>
      <c r="C42" s="125">
        <f>B42/$B$43*100</f>
        <v>23.214285714285719</v>
      </c>
    </row>
    <row r="43" spans="1:4" ht="12.75" customHeight="1">
      <c r="A43" s="22" t="s">
        <v>61</v>
      </c>
      <c r="B43" s="124">
        <v>11.2</v>
      </c>
      <c r="C43" s="125">
        <v>100</v>
      </c>
    </row>
    <row r="44" spans="1:4" ht="12.75" customHeight="1">
      <c r="A44" s="33" t="s">
        <v>60</v>
      </c>
      <c r="B44" s="124">
        <v>1.6</v>
      </c>
      <c r="C44" s="125">
        <f>B44/$B$43*100</f>
        <v>14.285714285714288</v>
      </c>
    </row>
    <row r="45" spans="1:4" ht="12.75" customHeight="1">
      <c r="A45" s="22" t="s">
        <v>58</v>
      </c>
      <c r="B45" s="124">
        <v>2.1</v>
      </c>
      <c r="C45" s="125">
        <f t="shared" ref="C45:C46" si="2">B45/$B$43*100</f>
        <v>18.750000000000004</v>
      </c>
    </row>
    <row r="46" spans="1:4" ht="12.75" customHeight="1">
      <c r="A46" s="33" t="s">
        <v>62</v>
      </c>
      <c r="B46" s="124">
        <v>1.5</v>
      </c>
      <c r="C46" s="125">
        <f t="shared" si="2"/>
        <v>13.392857142857142</v>
      </c>
    </row>
    <row r="47" spans="1:4" ht="12.75" customHeight="1">
      <c r="B47" s="124"/>
      <c r="C47" s="126"/>
    </row>
    <row r="48" spans="1:4" ht="12.75" customHeight="1">
      <c r="A48" s="33"/>
      <c r="B48" s="124"/>
      <c r="C48" s="126"/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Dartmouth WW 2023</vt:lpstr>
      <vt:lpstr>Birling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Semen</dc:creator>
  <cp:lastModifiedBy>Microsoft Office User</cp:lastModifiedBy>
  <cp:lastPrinted>2023-04-30T20:12:16Z</cp:lastPrinted>
  <dcterms:created xsi:type="dcterms:W3CDTF">2001-04-18T20:26:12Z</dcterms:created>
  <dcterms:modified xsi:type="dcterms:W3CDTF">2023-05-01T14:07:15Z</dcterms:modified>
</cp:coreProperties>
</file>