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Kevin/Dropbox/Dartmouth/Shmen/18S/Miscellany/"/>
    </mc:Choice>
  </mc:AlternateContent>
  <xr:revisionPtr revIDLastSave="0" documentId="13_ncr:1_{082F7331-CEE0-F04D-97B4-B4EFB26073DA}" xr6:coauthVersionLast="32" xr6:coauthVersionMax="32" xr10:uidLastSave="{00000000-0000-0000-0000-000000000000}"/>
  <bookViews>
    <workbookView xWindow="0" yWindow="0" windowWidth="28800" windowHeight="18000" xr2:uid="{00000000-000D-0000-FFFF-FFFF00000000}"/>
  </bookViews>
  <sheets>
    <sheet name="Dartmouth WW 2018" sheetId="1" r:id="rId1"/>
    <sheet name="Birling" sheetId="2" r:id="rId2"/>
  </sheets>
  <calcPr calcId="179017"/>
</workbook>
</file>

<file path=xl/calcChain.xml><?xml version="1.0" encoding="utf-8"?>
<calcChain xmlns="http://schemas.openxmlformats.org/spreadsheetml/2006/main">
  <c r="N30" i="1" l="1" a="1"/>
  <c r="N30" i="1" s="1"/>
  <c r="V143" i="1"/>
  <c r="AL35" i="1"/>
  <c r="AL34" i="1"/>
  <c r="AL33" i="1"/>
  <c r="AL32" i="1"/>
  <c r="AL31" i="1"/>
  <c r="AL30" i="1"/>
  <c r="AL143" i="1"/>
  <c r="AL142" i="1"/>
  <c r="AL139" i="1"/>
  <c r="AL138" i="1"/>
  <c r="AL140" i="1"/>
  <c r="AL141" i="1"/>
  <c r="N31" i="1"/>
  <c r="N34" i="1"/>
  <c r="N33" i="1"/>
  <c r="N143" i="1"/>
  <c r="N142" i="1"/>
  <c r="N140" i="1"/>
  <c r="N138" i="1"/>
  <c r="AP129" i="1"/>
  <c r="AP122" i="1"/>
  <c r="AP123" i="1"/>
  <c r="AP124" i="1"/>
  <c r="AP125" i="1"/>
  <c r="AP126" i="1"/>
  <c r="AP127" i="1"/>
  <c r="AP128" i="1"/>
  <c r="AP121" i="1"/>
  <c r="AL84" i="1"/>
  <c r="AL83" i="1" s="1"/>
  <c r="AL82" i="1"/>
  <c r="AL81" i="1"/>
  <c r="AL80" i="1"/>
  <c r="AL79" i="1" s="1"/>
  <c r="C66" i="2" l="1"/>
  <c r="C67" i="2"/>
  <c r="C68" i="2"/>
  <c r="C72" i="2"/>
  <c r="C73" i="2"/>
  <c r="C65" i="2"/>
  <c r="C20" i="2"/>
  <c r="C21" i="2"/>
  <c r="C19" i="2"/>
  <c r="C4" i="2"/>
  <c r="C6" i="2"/>
  <c r="S6" i="1" s="1"/>
  <c r="C8" i="2"/>
  <c r="C9" i="2"/>
  <c r="C10" i="2"/>
  <c r="S10" i="1" s="1"/>
  <c r="C11" i="2"/>
  <c r="C12" i="2"/>
  <c r="C14" i="2"/>
  <c r="S14" i="1" s="1"/>
  <c r="C3" i="2"/>
  <c r="AO4" i="1"/>
  <c r="AO5" i="1"/>
  <c r="AO6" i="1"/>
  <c r="AO7" i="1"/>
  <c r="AO8" i="1"/>
  <c r="AO9" i="1"/>
  <c r="AO10" i="1"/>
  <c r="AO11" i="1"/>
  <c r="AO12" i="1"/>
  <c r="AO13" i="1"/>
  <c r="AO14" i="1"/>
  <c r="AO15" i="1"/>
  <c r="AO3" i="1"/>
  <c r="AL29" i="1"/>
  <c r="AM15" i="1" s="1"/>
  <c r="AM130" i="1"/>
  <c r="AM131" i="1"/>
  <c r="AM132" i="1"/>
  <c r="AM133" i="1"/>
  <c r="AM134" i="1"/>
  <c r="AM135" i="1"/>
  <c r="AM136" i="1"/>
  <c r="AL137" i="1"/>
  <c r="AM121" i="1" s="1"/>
  <c r="AM68" i="1"/>
  <c r="AM69" i="1"/>
  <c r="AM70" i="1"/>
  <c r="AM71" i="1"/>
  <c r="AM72" i="1"/>
  <c r="AM73" i="1"/>
  <c r="AM74" i="1"/>
  <c r="AM75" i="1"/>
  <c r="AM76" i="1"/>
  <c r="AM77" i="1"/>
  <c r="AL78" i="1"/>
  <c r="AM63" i="1" s="1"/>
  <c r="AM16" i="1"/>
  <c r="AM17" i="1"/>
  <c r="AM18" i="1"/>
  <c r="AM20" i="1"/>
  <c r="AM21" i="1"/>
  <c r="AM22" i="1"/>
  <c r="AM24" i="1"/>
  <c r="AM28" i="1"/>
  <c r="S25" i="1"/>
  <c r="S26" i="1"/>
  <c r="S27" i="1"/>
  <c r="R27" i="1"/>
  <c r="R26" i="1"/>
  <c r="R25" i="1"/>
  <c r="R62" i="1"/>
  <c r="R63" i="1"/>
  <c r="R64" i="1"/>
  <c r="R65" i="1"/>
  <c r="R66" i="1"/>
  <c r="R67" i="1"/>
  <c r="AO26" i="1"/>
  <c r="AO27" i="1"/>
  <c r="C39" i="2"/>
  <c r="C42" i="2"/>
  <c r="C134" i="1"/>
  <c r="C135" i="1"/>
  <c r="C133" i="1"/>
  <c r="C75" i="1"/>
  <c r="R3" i="1"/>
  <c r="S123" i="1"/>
  <c r="S121" i="1"/>
  <c r="R121" i="1"/>
  <c r="R122" i="1"/>
  <c r="R123" i="1"/>
  <c r="R124" i="1"/>
  <c r="R125" i="1"/>
  <c r="R126" i="1"/>
  <c r="R127" i="1"/>
  <c r="R128" i="1"/>
  <c r="R129" i="1"/>
  <c r="R7" i="1"/>
  <c r="S129" i="1"/>
  <c r="S127" i="1"/>
  <c r="S124" i="1"/>
  <c r="S66" i="1"/>
  <c r="S15" i="1"/>
  <c r="S13" i="1"/>
  <c r="S11" i="1"/>
  <c r="S8" i="1"/>
  <c r="S5" i="1"/>
  <c r="AJ143" i="1"/>
  <c r="AJ142" i="1" s="1" a="1"/>
  <c r="AJ142" i="1" s="1"/>
  <c r="AH143" i="1"/>
  <c r="AH142" i="1" s="1" a="1"/>
  <c r="AH142" i="1" s="1"/>
  <c r="AF143" i="1"/>
  <c r="AF142" i="1" s="1" a="1"/>
  <c r="AF142" i="1" s="1"/>
  <c r="AD143" i="1"/>
  <c r="AD142" i="1" s="1" a="1"/>
  <c r="AD142" i="1" s="1"/>
  <c r="AB143" i="1"/>
  <c r="AB142" i="1" s="1" a="1"/>
  <c r="AB142" i="1" s="1"/>
  <c r="Z143" i="1"/>
  <c r="Z142" i="1" s="1" a="1"/>
  <c r="Z142" i="1" s="1"/>
  <c r="X143" i="1"/>
  <c r="X142" i="1" s="1" a="1"/>
  <c r="X142" i="1" s="1"/>
  <c r="T143" i="1"/>
  <c r="T142" i="1" s="1" a="1"/>
  <c r="T142" i="1" s="1"/>
  <c r="P143" i="1"/>
  <c r="P142" i="1" s="1" a="1"/>
  <c r="P142" i="1" s="1"/>
  <c r="L143" i="1"/>
  <c r="L142" i="1" s="1" a="1"/>
  <c r="L142" i="1" s="1"/>
  <c r="J143" i="1"/>
  <c r="J142" i="1" s="1" a="1"/>
  <c r="J142" i="1" s="1"/>
  <c r="H143" i="1"/>
  <c r="H142" i="1" s="1" a="1"/>
  <c r="H142" i="1" s="1"/>
  <c r="F143" i="1"/>
  <c r="F142" i="1" s="1" a="1"/>
  <c r="F142" i="1" s="1"/>
  <c r="D143" i="1"/>
  <c r="D142" i="1" s="1" a="1"/>
  <c r="D142" i="1" s="1"/>
  <c r="B143" i="1"/>
  <c r="B142" i="1" s="1" a="1"/>
  <c r="B142" i="1" s="1"/>
  <c r="AJ141" i="1"/>
  <c r="AJ140" i="1" s="1" a="1"/>
  <c r="AJ140" i="1" s="1"/>
  <c r="AH141" i="1"/>
  <c r="AH140" i="1" s="1" a="1"/>
  <c r="AH140" i="1" s="1"/>
  <c r="AF141" i="1"/>
  <c r="AF140" i="1" s="1" a="1"/>
  <c r="AF140" i="1" s="1"/>
  <c r="AD141" i="1"/>
  <c r="AD140" i="1" s="1" a="1"/>
  <c r="AD140" i="1" s="1"/>
  <c r="AB141" i="1"/>
  <c r="AB140" i="1" s="1" a="1"/>
  <c r="AB140" i="1" s="1"/>
  <c r="Z141" i="1"/>
  <c r="Z140" i="1" s="1" a="1"/>
  <c r="Z140" i="1" s="1"/>
  <c r="X141" i="1"/>
  <c r="X140" i="1" s="1" a="1"/>
  <c r="X140" i="1" s="1"/>
  <c r="V141" i="1"/>
  <c r="V140" i="1" s="1" a="1"/>
  <c r="V140" i="1" s="1"/>
  <c r="T141" i="1"/>
  <c r="T140" i="1" s="1" a="1"/>
  <c r="T140" i="1" s="1"/>
  <c r="P141" i="1"/>
  <c r="P140" i="1" s="1" a="1"/>
  <c r="P140" i="1" s="1"/>
  <c r="N141" i="1"/>
  <c r="L141" i="1"/>
  <c r="L140" i="1" s="1" a="1"/>
  <c r="L140" i="1" s="1"/>
  <c r="J141" i="1"/>
  <c r="J140" i="1" s="1" a="1"/>
  <c r="J140" i="1" s="1"/>
  <c r="H141" i="1"/>
  <c r="H140" i="1" s="1" a="1"/>
  <c r="H140" i="1" s="1"/>
  <c r="F141" i="1"/>
  <c r="F140" i="1" s="1" a="1"/>
  <c r="F140" i="1" s="1"/>
  <c r="D141" i="1"/>
  <c r="D140" i="1" s="1" a="1"/>
  <c r="D140" i="1" s="1"/>
  <c r="B141" i="1"/>
  <c r="B140" i="1" s="1" a="1"/>
  <c r="B140" i="1" s="1"/>
  <c r="AJ139" i="1"/>
  <c r="AJ138" i="1" s="1" a="1"/>
  <c r="AJ138" i="1" s="1"/>
  <c r="AH139" i="1"/>
  <c r="AH138" i="1" s="1" a="1"/>
  <c r="AH138" i="1" s="1"/>
  <c r="AF139" i="1"/>
  <c r="AF138" i="1" s="1" a="1"/>
  <c r="AF138" i="1" s="1"/>
  <c r="AD139" i="1"/>
  <c r="AD138" i="1" s="1" a="1"/>
  <c r="AD138" i="1" s="1"/>
  <c r="AB139" i="1"/>
  <c r="AB138" i="1" s="1" a="1"/>
  <c r="AB138" i="1" s="1"/>
  <c r="Z139" i="1"/>
  <c r="Z138" i="1" s="1" a="1"/>
  <c r="Z138" i="1" s="1"/>
  <c r="X139" i="1"/>
  <c r="X138" i="1" s="1" a="1"/>
  <c r="X138" i="1" s="1"/>
  <c r="V139" i="1"/>
  <c r="V138" i="1" s="1" a="1"/>
  <c r="V138" i="1" s="1"/>
  <c r="T139" i="1"/>
  <c r="T138" i="1" s="1" a="1"/>
  <c r="T138" i="1" s="1"/>
  <c r="P139" i="1"/>
  <c r="P138" i="1" s="1" a="1"/>
  <c r="P138" i="1" s="1"/>
  <c r="N139" i="1"/>
  <c r="L139" i="1"/>
  <c r="L138" i="1" s="1" a="1"/>
  <c r="L138" i="1" s="1"/>
  <c r="J139" i="1"/>
  <c r="J138" i="1" s="1" a="1"/>
  <c r="J138" i="1" s="1"/>
  <c r="H139" i="1"/>
  <c r="H138" i="1" s="1" a="1"/>
  <c r="H138" i="1" s="1"/>
  <c r="F139" i="1"/>
  <c r="F138" i="1" s="1" a="1"/>
  <c r="F138" i="1" s="1"/>
  <c r="D139" i="1"/>
  <c r="D138" i="1" s="1" a="1"/>
  <c r="D138" i="1" s="1"/>
  <c r="B139" i="1"/>
  <c r="B138" i="1" s="1" a="1"/>
  <c r="B138" i="1" s="1"/>
  <c r="AJ137" i="1"/>
  <c r="AK127" i="1" s="1"/>
  <c r="AH137" i="1"/>
  <c r="AI128" i="1" s="1"/>
  <c r="AF137" i="1"/>
  <c r="AG125" i="1" s="1"/>
  <c r="AD137" i="1"/>
  <c r="AE126" i="1" s="1"/>
  <c r="AB137" i="1"/>
  <c r="AC123" i="1" s="1"/>
  <c r="Z137" i="1"/>
  <c r="AA121" i="1" s="1"/>
  <c r="X137" i="1"/>
  <c r="Y125" i="1" s="1"/>
  <c r="V137" i="1"/>
  <c r="W126" i="1" s="1"/>
  <c r="T137" i="1"/>
  <c r="U127" i="1" s="1"/>
  <c r="P137" i="1"/>
  <c r="Q127" i="1" s="1"/>
  <c r="N137" i="1"/>
  <c r="O125" i="1" s="1"/>
  <c r="L137" i="1"/>
  <c r="M131" i="1" s="1"/>
  <c r="J137" i="1"/>
  <c r="K125" i="1" s="1"/>
  <c r="H137" i="1"/>
  <c r="I128" i="1" s="1"/>
  <c r="F137" i="1"/>
  <c r="G125" i="1" s="1"/>
  <c r="D137" i="1"/>
  <c r="E128" i="1" s="1"/>
  <c r="B137" i="1"/>
  <c r="C125" i="1" s="1"/>
  <c r="AE131" i="1"/>
  <c r="AA131" i="1"/>
  <c r="O131" i="1"/>
  <c r="I131" i="1"/>
  <c r="G131" i="1"/>
  <c r="E131" i="1"/>
  <c r="C131" i="1"/>
  <c r="AI130" i="1"/>
  <c r="Q130" i="1"/>
  <c r="K130" i="1"/>
  <c r="I130" i="1"/>
  <c r="E130" i="1"/>
  <c r="C130" i="1"/>
  <c r="AO129" i="1"/>
  <c r="AG129" i="1"/>
  <c r="AE129" i="1"/>
  <c r="AO128" i="1"/>
  <c r="S128" i="1"/>
  <c r="AO127" i="1"/>
  <c r="AO126" i="1"/>
  <c r="S126" i="1"/>
  <c r="AO125" i="1"/>
  <c r="S125" i="1"/>
  <c r="AO124" i="1"/>
  <c r="AO123" i="1"/>
  <c r="AO122" i="1"/>
  <c r="S122" i="1"/>
  <c r="AO121" i="1"/>
  <c r="S120" i="1"/>
  <c r="S119" i="1"/>
  <c r="AJ84" i="1"/>
  <c r="AJ83" i="1" s="1" a="1"/>
  <c r="AJ83" i="1" s="1"/>
  <c r="AH84" i="1"/>
  <c r="AH83" i="1" s="1" a="1"/>
  <c r="AH83" i="1" s="1"/>
  <c r="AF84" i="1"/>
  <c r="AF83" i="1" s="1" a="1"/>
  <c r="AF83" i="1" s="1"/>
  <c r="AD84" i="1"/>
  <c r="AD83" i="1" s="1" a="1"/>
  <c r="AD83" i="1" s="1"/>
  <c r="AB84" i="1"/>
  <c r="AB83" i="1" s="1" a="1"/>
  <c r="AB83" i="1" s="1"/>
  <c r="Z84" i="1"/>
  <c r="Z83" i="1" s="1" a="1"/>
  <c r="Z83" i="1" s="1"/>
  <c r="X84" i="1"/>
  <c r="X83" i="1" s="1" a="1"/>
  <c r="X83" i="1" s="1"/>
  <c r="V84" i="1"/>
  <c r="V83" i="1" s="1" a="1"/>
  <c r="V83" i="1" s="1"/>
  <c r="T84" i="1"/>
  <c r="T83" i="1" s="1" a="1"/>
  <c r="T83" i="1" s="1"/>
  <c r="P84" i="1"/>
  <c r="P83" i="1" s="1" a="1"/>
  <c r="P83" i="1" s="1"/>
  <c r="N84" i="1"/>
  <c r="N83" i="1" s="1" a="1"/>
  <c r="N83" i="1" s="1"/>
  <c r="L84" i="1"/>
  <c r="L83" i="1" s="1" a="1"/>
  <c r="L83" i="1" s="1"/>
  <c r="J84" i="1"/>
  <c r="J83" i="1" s="1" a="1"/>
  <c r="J83" i="1" s="1"/>
  <c r="H84" i="1"/>
  <c r="H83" i="1" s="1" a="1"/>
  <c r="H83" i="1" s="1"/>
  <c r="F84" i="1"/>
  <c r="F83" i="1" s="1" a="1"/>
  <c r="F83" i="1" s="1"/>
  <c r="D84" i="1"/>
  <c r="D83" i="1" s="1" a="1"/>
  <c r="D83" i="1" s="1"/>
  <c r="B84" i="1"/>
  <c r="B83" i="1" s="1" a="1"/>
  <c r="B83" i="1" s="1"/>
  <c r="AJ82" i="1"/>
  <c r="AJ81" i="1" s="1" a="1"/>
  <c r="AJ81" i="1" s="1"/>
  <c r="AH82" i="1"/>
  <c r="AH81" i="1" s="1" a="1"/>
  <c r="AH81" i="1" s="1"/>
  <c r="AF82" i="1"/>
  <c r="AF81" i="1" s="1" a="1"/>
  <c r="AF81" i="1" s="1"/>
  <c r="AD82" i="1"/>
  <c r="AD81" i="1" s="1" a="1"/>
  <c r="AD81" i="1" s="1"/>
  <c r="AB82" i="1"/>
  <c r="Z82" i="1"/>
  <c r="Z81" i="1" s="1" a="1"/>
  <c r="Z81" i="1" s="1"/>
  <c r="X82" i="1"/>
  <c r="X81" i="1" s="1" a="1"/>
  <c r="X81" i="1" s="1"/>
  <c r="V82" i="1"/>
  <c r="V81" i="1" s="1" a="1"/>
  <c r="V81" i="1" s="1"/>
  <c r="T82" i="1"/>
  <c r="T81" i="1" s="1" a="1"/>
  <c r="T81" i="1" s="1"/>
  <c r="P82" i="1"/>
  <c r="P81" i="1" s="1" a="1"/>
  <c r="P81" i="1" s="1"/>
  <c r="N82" i="1"/>
  <c r="N81" i="1" s="1" a="1"/>
  <c r="N81" i="1" s="1"/>
  <c r="L82" i="1"/>
  <c r="L81" i="1" s="1" a="1"/>
  <c r="L81" i="1" s="1"/>
  <c r="J82" i="1"/>
  <c r="J81" i="1" s="1" a="1"/>
  <c r="J81" i="1" s="1"/>
  <c r="H82" i="1"/>
  <c r="H81" i="1" s="1" a="1"/>
  <c r="H81" i="1" s="1"/>
  <c r="F82" i="1"/>
  <c r="F81" i="1" s="1" a="1"/>
  <c r="F81" i="1" s="1"/>
  <c r="D82" i="1"/>
  <c r="D81" i="1" s="1" a="1"/>
  <c r="D81" i="1" s="1"/>
  <c r="B82" i="1"/>
  <c r="B81" i="1" s="1" a="1"/>
  <c r="B81" i="1" s="1"/>
  <c r="AJ80" i="1"/>
  <c r="AJ79" i="1" s="1"/>
  <c r="AH80" i="1"/>
  <c r="AH79" i="1" s="1"/>
  <c r="AF80" i="1"/>
  <c r="AF79" i="1" s="1" a="1"/>
  <c r="AF79" i="1" s="1"/>
  <c r="AD80" i="1"/>
  <c r="AD79" i="1" s="1" a="1"/>
  <c r="AD79" i="1" s="1"/>
  <c r="AB80" i="1"/>
  <c r="AB79" i="1" s="1" a="1"/>
  <c r="AB79" i="1" s="1"/>
  <c r="Z80" i="1"/>
  <c r="Z79" i="1" s="1"/>
  <c r="X80" i="1"/>
  <c r="X79" i="1" s="1" a="1"/>
  <c r="X79" i="1" s="1"/>
  <c r="V80" i="1"/>
  <c r="V79" i="1" s="1" a="1"/>
  <c r="V79" i="1" s="1"/>
  <c r="T80" i="1"/>
  <c r="T79" i="1" s="1" a="1"/>
  <c r="T79" i="1" s="1"/>
  <c r="P80" i="1"/>
  <c r="P79" i="1" s="1" a="1"/>
  <c r="P79" i="1" s="1"/>
  <c r="N80" i="1"/>
  <c r="N79" i="1" s="1" a="1"/>
  <c r="N79" i="1" s="1"/>
  <c r="L80" i="1"/>
  <c r="L79" i="1" s="1" a="1"/>
  <c r="L79" i="1" s="1"/>
  <c r="J80" i="1"/>
  <c r="J79" i="1" s="1" a="1"/>
  <c r="J79" i="1" s="1"/>
  <c r="H80" i="1"/>
  <c r="H79" i="1" s="1" a="1"/>
  <c r="H79" i="1" s="1"/>
  <c r="F80" i="1"/>
  <c r="F79" i="1" s="1" a="1"/>
  <c r="F79" i="1" s="1"/>
  <c r="D80" i="1"/>
  <c r="D79" i="1" s="1" a="1"/>
  <c r="D79" i="1" s="1"/>
  <c r="B80" i="1"/>
  <c r="B79" i="1" s="1" a="1"/>
  <c r="B79" i="1" s="1"/>
  <c r="AJ78" i="1"/>
  <c r="AK62" i="1" s="1"/>
  <c r="AH78" i="1"/>
  <c r="AI76" i="1" s="1"/>
  <c r="AF78" i="1"/>
  <c r="AG63" i="1" s="1"/>
  <c r="AD78" i="1"/>
  <c r="AE66" i="1" s="1"/>
  <c r="AB78" i="1"/>
  <c r="AC62" i="1" s="1"/>
  <c r="Z78" i="1"/>
  <c r="AA75" i="1" s="1"/>
  <c r="X78" i="1"/>
  <c r="Y75" i="1" s="1"/>
  <c r="V78" i="1"/>
  <c r="W66" i="1" s="1"/>
  <c r="T78" i="1"/>
  <c r="U76" i="1" s="1"/>
  <c r="S78" i="1"/>
  <c r="P78" i="1"/>
  <c r="Q66" i="1" s="1"/>
  <c r="N78" i="1"/>
  <c r="O65" i="1" s="1"/>
  <c r="L78" i="1"/>
  <c r="M67" i="1" s="1"/>
  <c r="J78" i="1"/>
  <c r="K66" i="1" s="1"/>
  <c r="H78" i="1"/>
  <c r="I62" i="1" s="1"/>
  <c r="F78" i="1"/>
  <c r="G67" i="1" s="1"/>
  <c r="D78" i="1"/>
  <c r="E75" i="1" s="1"/>
  <c r="B78" i="1"/>
  <c r="C66" i="1" s="1"/>
  <c r="O76" i="1"/>
  <c r="G76" i="1"/>
  <c r="AI75" i="1"/>
  <c r="AG75" i="1"/>
  <c r="Q75" i="1"/>
  <c r="O75" i="1"/>
  <c r="G75" i="1"/>
  <c r="AK71" i="1"/>
  <c r="AI71" i="1"/>
  <c r="AG71" i="1"/>
  <c r="AE71" i="1"/>
  <c r="AC71" i="1"/>
  <c r="AA71" i="1"/>
  <c r="Y71" i="1"/>
  <c r="W71" i="1"/>
  <c r="U71" i="1"/>
  <c r="Q71" i="1"/>
  <c r="O71" i="1"/>
  <c r="M71" i="1"/>
  <c r="K71" i="1"/>
  <c r="I71" i="1"/>
  <c r="G71" i="1"/>
  <c r="E71" i="1"/>
  <c r="C71" i="1"/>
  <c r="AK70" i="1"/>
  <c r="AI70" i="1"/>
  <c r="AG70" i="1"/>
  <c r="AE70" i="1"/>
  <c r="AC70" i="1"/>
  <c r="AA70" i="1"/>
  <c r="Y70" i="1"/>
  <c r="W70" i="1"/>
  <c r="U70" i="1"/>
  <c r="Q70" i="1"/>
  <c r="O70" i="1"/>
  <c r="M70" i="1"/>
  <c r="K70" i="1"/>
  <c r="I70" i="1"/>
  <c r="G70" i="1"/>
  <c r="E70" i="1"/>
  <c r="C70" i="1"/>
  <c r="AK69" i="1"/>
  <c r="AI69" i="1"/>
  <c r="AG69" i="1"/>
  <c r="AE69" i="1"/>
  <c r="AC69" i="1"/>
  <c r="AA69" i="1"/>
  <c r="Y69" i="1"/>
  <c r="W69" i="1"/>
  <c r="U69" i="1"/>
  <c r="Q69" i="1"/>
  <c r="O69" i="1"/>
  <c r="M69" i="1"/>
  <c r="K69" i="1"/>
  <c r="I69" i="1"/>
  <c r="G69" i="1"/>
  <c r="E69" i="1"/>
  <c r="C69" i="1"/>
  <c r="AK68" i="1"/>
  <c r="AI68" i="1"/>
  <c r="AG68" i="1"/>
  <c r="AE68" i="1"/>
  <c r="AC68" i="1"/>
  <c r="AA68" i="1"/>
  <c r="Y68" i="1"/>
  <c r="W68" i="1"/>
  <c r="U68" i="1"/>
  <c r="Q68" i="1"/>
  <c r="O68" i="1"/>
  <c r="M68" i="1"/>
  <c r="K68" i="1"/>
  <c r="I68" i="1"/>
  <c r="G68" i="1"/>
  <c r="E68" i="1"/>
  <c r="C68" i="1"/>
  <c r="AO67" i="1"/>
  <c r="S67" i="1"/>
  <c r="AO66" i="1"/>
  <c r="AO65" i="1"/>
  <c r="S65" i="1"/>
  <c r="AO64" i="1"/>
  <c r="AI64" i="1"/>
  <c r="S64" i="1"/>
  <c r="AO63" i="1"/>
  <c r="S63" i="1"/>
  <c r="AO62" i="1"/>
  <c r="S62" i="1"/>
  <c r="AJ35" i="1"/>
  <c r="AJ34" i="1" s="1" a="1"/>
  <c r="AJ34" i="1" s="1"/>
  <c r="AH35" i="1"/>
  <c r="AH34" i="1" s="1" a="1"/>
  <c r="AH34" i="1" s="1"/>
  <c r="AF35" i="1"/>
  <c r="AF34" i="1" s="1" a="1"/>
  <c r="AF34" i="1" s="1"/>
  <c r="AD35" i="1"/>
  <c r="AD34" i="1" s="1" a="1"/>
  <c r="AD34" i="1" s="1"/>
  <c r="AB35" i="1"/>
  <c r="AB34" i="1" s="1" a="1"/>
  <c r="AB34" i="1" s="1"/>
  <c r="Z35" i="1"/>
  <c r="Z34" i="1" s="1" a="1"/>
  <c r="Z34" i="1" s="1"/>
  <c r="X35" i="1"/>
  <c r="X34" i="1" s="1" a="1"/>
  <c r="X34" i="1" s="1"/>
  <c r="V35" i="1"/>
  <c r="T35" i="1"/>
  <c r="T34" i="1" s="1" a="1"/>
  <c r="T34" i="1" s="1"/>
  <c r="P35" i="1"/>
  <c r="P34" i="1" s="1" a="1"/>
  <c r="P34" i="1" s="1"/>
  <c r="N35" i="1"/>
  <c r="L35" i="1"/>
  <c r="L34" i="1" s="1" a="1"/>
  <c r="L34" i="1" s="1"/>
  <c r="J35" i="1"/>
  <c r="J34" i="1" s="1" a="1"/>
  <c r="J34" i="1" s="1"/>
  <c r="H35" i="1"/>
  <c r="H34" i="1" s="1" a="1"/>
  <c r="H34" i="1" s="1"/>
  <c r="F35" i="1"/>
  <c r="F34" i="1" s="1" a="1"/>
  <c r="F34" i="1" s="1"/>
  <c r="D35" i="1"/>
  <c r="D34" i="1" s="1" a="1"/>
  <c r="D34" i="1" s="1"/>
  <c r="B35" i="1"/>
  <c r="B34" i="1" s="1" a="1"/>
  <c r="B34" i="1" s="1"/>
  <c r="AJ33" i="1"/>
  <c r="AJ32" i="1" s="1" a="1"/>
  <c r="AJ32" i="1" s="1"/>
  <c r="AH33" i="1"/>
  <c r="AH32" i="1" s="1" a="1"/>
  <c r="AH32" i="1" s="1"/>
  <c r="AF33" i="1"/>
  <c r="AF32" i="1" s="1" a="1"/>
  <c r="AF32" i="1" s="1"/>
  <c r="AD33" i="1"/>
  <c r="AD32" i="1" s="1" a="1"/>
  <c r="AD32" i="1" s="1"/>
  <c r="AB33" i="1"/>
  <c r="AB32" i="1" s="1" a="1"/>
  <c r="AB32" i="1" s="1"/>
  <c r="Z33" i="1"/>
  <c r="Z32" i="1" s="1" a="1"/>
  <c r="Z32" i="1" s="1"/>
  <c r="X33" i="1"/>
  <c r="X32" i="1" s="1" a="1"/>
  <c r="X32" i="1" s="1"/>
  <c r="V33" i="1"/>
  <c r="V32" i="1" s="1" a="1"/>
  <c r="V32" i="1" s="1"/>
  <c r="T33" i="1"/>
  <c r="T32" i="1" s="1" a="1"/>
  <c r="T32" i="1" s="1"/>
  <c r="P33" i="1"/>
  <c r="P32" i="1" s="1" a="1"/>
  <c r="P32" i="1" s="1"/>
  <c r="L33" i="1"/>
  <c r="L32" i="1" s="1" a="1"/>
  <c r="L32" i="1" s="1"/>
  <c r="J33" i="1"/>
  <c r="J32" i="1" s="1" a="1"/>
  <c r="J32" i="1" s="1"/>
  <c r="H33" i="1"/>
  <c r="H32" i="1" s="1" a="1"/>
  <c r="H32" i="1" s="1"/>
  <c r="F33" i="1"/>
  <c r="F32" i="1" s="1" a="1"/>
  <c r="F32" i="1" s="1"/>
  <c r="D33" i="1"/>
  <c r="D32" i="1" s="1" a="1"/>
  <c r="D32" i="1" s="1"/>
  <c r="B33" i="1"/>
  <c r="B32" i="1" s="1" a="1"/>
  <c r="B32" i="1" s="1"/>
  <c r="AJ31" i="1"/>
  <c r="AJ30" i="1" s="1" a="1"/>
  <c r="AJ30" i="1" s="1"/>
  <c r="AH31" i="1"/>
  <c r="AH30" i="1" s="1" a="1"/>
  <c r="AH30" i="1" s="1"/>
  <c r="AF31" i="1"/>
  <c r="AF30" i="1" s="1" a="1"/>
  <c r="AF30" i="1" s="1"/>
  <c r="AD31" i="1"/>
  <c r="AD30" i="1" s="1" a="1"/>
  <c r="AD30" i="1" s="1"/>
  <c r="AB31" i="1"/>
  <c r="AB30" i="1" s="1" a="1"/>
  <c r="AB30" i="1" s="1"/>
  <c r="Z31" i="1"/>
  <c r="Z30" i="1" s="1" a="1"/>
  <c r="Z30" i="1" s="1"/>
  <c r="X31" i="1"/>
  <c r="X30" i="1" s="1" a="1"/>
  <c r="X30" i="1" s="1"/>
  <c r="V31" i="1"/>
  <c r="V30" i="1" s="1" a="1"/>
  <c r="V30" i="1" s="1"/>
  <c r="T31" i="1"/>
  <c r="T30" i="1" s="1" a="1"/>
  <c r="T30" i="1" s="1"/>
  <c r="P31" i="1"/>
  <c r="P30" i="1" s="1" a="1"/>
  <c r="P30" i="1" s="1"/>
  <c r="L31" i="1"/>
  <c r="L30" i="1" s="1"/>
  <c r="J31" i="1"/>
  <c r="J30" i="1" s="1" a="1"/>
  <c r="J30" i="1" s="1"/>
  <c r="H31" i="1"/>
  <c r="H30" i="1" s="1" a="1"/>
  <c r="H30" i="1" s="1"/>
  <c r="F31" i="1"/>
  <c r="F30" i="1" s="1" a="1"/>
  <c r="F30" i="1" s="1"/>
  <c r="D31" i="1"/>
  <c r="D30" i="1" s="1" a="1"/>
  <c r="D30" i="1" s="1"/>
  <c r="B31" i="1"/>
  <c r="B30" i="1" s="1" a="1"/>
  <c r="B30" i="1" s="1"/>
  <c r="AJ29" i="1"/>
  <c r="AK15" i="1" s="1"/>
  <c r="AH29" i="1"/>
  <c r="AI5" i="1" s="1"/>
  <c r="AF29" i="1"/>
  <c r="AG7" i="1" s="1"/>
  <c r="AD29" i="1"/>
  <c r="AE25" i="1" s="1"/>
  <c r="AB29" i="1"/>
  <c r="AC15" i="1" s="1"/>
  <c r="Z29" i="1"/>
  <c r="AA10" i="1" s="1"/>
  <c r="X29" i="1"/>
  <c r="Y14" i="1" s="1"/>
  <c r="V29" i="1"/>
  <c r="W25" i="1" s="1"/>
  <c r="T29" i="1"/>
  <c r="U15" i="1" s="1"/>
  <c r="P29" i="1"/>
  <c r="Q27" i="1" s="1"/>
  <c r="N29" i="1"/>
  <c r="O25" i="1" s="1"/>
  <c r="L29" i="1"/>
  <c r="M4" i="1" s="1"/>
  <c r="J29" i="1"/>
  <c r="K25" i="1" s="1"/>
  <c r="H29" i="1"/>
  <c r="I27" i="1" s="1"/>
  <c r="F29" i="1"/>
  <c r="G25" i="1" s="1"/>
  <c r="D29" i="1"/>
  <c r="E10" i="1" s="1"/>
  <c r="B29" i="1"/>
  <c r="C11" i="1" s="1"/>
  <c r="AK28" i="1"/>
  <c r="AI28" i="1"/>
  <c r="AG28" i="1"/>
  <c r="AE28" i="1"/>
  <c r="AC28" i="1"/>
  <c r="AA28" i="1"/>
  <c r="Y28" i="1"/>
  <c r="W28" i="1"/>
  <c r="U28" i="1"/>
  <c r="S28" i="1"/>
  <c r="O28" i="1"/>
  <c r="M28" i="1"/>
  <c r="K28" i="1"/>
  <c r="I28" i="1"/>
  <c r="G28" i="1"/>
  <c r="E28" i="1"/>
  <c r="C28" i="1"/>
  <c r="U26" i="1"/>
  <c r="AO25" i="1"/>
  <c r="AK24" i="1"/>
  <c r="AI24" i="1"/>
  <c r="AG24" i="1"/>
  <c r="AE24" i="1"/>
  <c r="AC24" i="1"/>
  <c r="Y24" i="1"/>
  <c r="W24" i="1"/>
  <c r="U24" i="1"/>
  <c r="Q24" i="1"/>
  <c r="O24" i="1"/>
  <c r="M24" i="1"/>
  <c r="K24" i="1"/>
  <c r="I24" i="1"/>
  <c r="G24" i="1"/>
  <c r="E24" i="1"/>
  <c r="C24" i="1"/>
  <c r="AK22" i="1"/>
  <c r="AI22" i="1"/>
  <c r="AG22" i="1"/>
  <c r="AE22" i="1"/>
  <c r="AC22" i="1"/>
  <c r="AA22" i="1"/>
  <c r="Y22" i="1"/>
  <c r="W22" i="1"/>
  <c r="U22" i="1"/>
  <c r="Q22" i="1"/>
  <c r="O22" i="1"/>
  <c r="M22" i="1"/>
  <c r="K22" i="1"/>
  <c r="I22" i="1"/>
  <c r="G22" i="1"/>
  <c r="E22" i="1"/>
  <c r="C22" i="1"/>
  <c r="AK21" i="1"/>
  <c r="AI21" i="1"/>
  <c r="AG21" i="1"/>
  <c r="AE21" i="1"/>
  <c r="AC21" i="1"/>
  <c r="AA21" i="1"/>
  <c r="Y21" i="1"/>
  <c r="W21" i="1"/>
  <c r="U21" i="1"/>
  <c r="Q21" i="1"/>
  <c r="O21" i="1"/>
  <c r="M21" i="1"/>
  <c r="K21" i="1"/>
  <c r="I21" i="1"/>
  <c r="G21" i="1"/>
  <c r="E21" i="1"/>
  <c r="C21" i="1"/>
  <c r="AK20" i="1"/>
  <c r="AI20" i="1"/>
  <c r="AG20" i="1"/>
  <c r="AE20" i="1"/>
  <c r="AC20" i="1"/>
  <c r="AA20" i="1"/>
  <c r="Y20" i="1"/>
  <c r="W20" i="1"/>
  <c r="U20" i="1"/>
  <c r="Q20" i="1"/>
  <c r="O20" i="1"/>
  <c r="M20" i="1"/>
  <c r="K20" i="1"/>
  <c r="I20" i="1"/>
  <c r="G20" i="1"/>
  <c r="E20" i="1"/>
  <c r="C20" i="1"/>
  <c r="AK18" i="1"/>
  <c r="AI18" i="1"/>
  <c r="AG18" i="1"/>
  <c r="AE18" i="1"/>
  <c r="AC18" i="1"/>
  <c r="AA18" i="1"/>
  <c r="Y18" i="1"/>
  <c r="W18" i="1"/>
  <c r="U18" i="1"/>
  <c r="Q18" i="1"/>
  <c r="O18" i="1"/>
  <c r="M18" i="1"/>
  <c r="K18" i="1"/>
  <c r="I18" i="1"/>
  <c r="G18" i="1"/>
  <c r="E18" i="1"/>
  <c r="C18" i="1"/>
  <c r="AK17" i="1"/>
  <c r="AI17" i="1"/>
  <c r="AG17" i="1"/>
  <c r="AE17" i="1"/>
  <c r="AC17" i="1"/>
  <c r="AA17" i="1"/>
  <c r="Y17" i="1"/>
  <c r="W17" i="1"/>
  <c r="U17" i="1"/>
  <c r="Q17" i="1"/>
  <c r="O17" i="1"/>
  <c r="M17" i="1"/>
  <c r="K17" i="1"/>
  <c r="I17" i="1"/>
  <c r="G17" i="1"/>
  <c r="E17" i="1"/>
  <c r="C17" i="1"/>
  <c r="AE16" i="1"/>
  <c r="AC16" i="1"/>
  <c r="W16" i="1"/>
  <c r="U16" i="1"/>
  <c r="I16" i="1"/>
  <c r="R15" i="1"/>
  <c r="R14" i="1"/>
  <c r="R13" i="1"/>
  <c r="S12" i="1"/>
  <c r="R12" i="1"/>
  <c r="R11" i="1"/>
  <c r="W10" i="1"/>
  <c r="R10" i="1"/>
  <c r="S9" i="1"/>
  <c r="R9" i="1"/>
  <c r="R8" i="1"/>
  <c r="S7" i="1"/>
  <c r="R6" i="1"/>
  <c r="R5" i="1"/>
  <c r="S4" i="1"/>
  <c r="R4" i="1"/>
  <c r="S3" i="1"/>
  <c r="W26" i="1" l="1"/>
  <c r="W12" i="1"/>
  <c r="W11" i="1"/>
  <c r="U123" i="1"/>
  <c r="AC128" i="1"/>
  <c r="AE121" i="1"/>
  <c r="Y10" i="1"/>
  <c r="O26" i="1"/>
  <c r="E62" i="1"/>
  <c r="O6" i="1"/>
  <c r="O13" i="1"/>
  <c r="Q123" i="1"/>
  <c r="Q26" i="1"/>
  <c r="C62" i="1"/>
  <c r="Q67" i="1"/>
  <c r="AI125" i="1"/>
  <c r="Y126" i="1"/>
  <c r="W9" i="1"/>
  <c r="W3" i="1"/>
  <c r="W4" i="1"/>
  <c r="W5" i="1"/>
  <c r="W7" i="1"/>
  <c r="W8" i="1"/>
  <c r="AK12" i="1"/>
  <c r="W14" i="1"/>
  <c r="W15" i="1"/>
  <c r="AK26" i="1"/>
  <c r="AK4" i="1"/>
  <c r="AK5" i="1"/>
  <c r="W6" i="1"/>
  <c r="AK7" i="1"/>
  <c r="G13" i="1"/>
  <c r="W13" i="1"/>
  <c r="M15" i="1"/>
  <c r="AG64" i="1"/>
  <c r="AI65" i="1"/>
  <c r="Q121" i="1"/>
  <c r="AG126" i="1"/>
  <c r="AG66" i="1"/>
  <c r="AG67" i="1"/>
  <c r="AG121" i="1"/>
  <c r="AG62" i="1"/>
  <c r="AG26" i="1"/>
  <c r="AG27" i="1"/>
  <c r="AI66" i="1"/>
  <c r="AI62" i="1"/>
  <c r="AI63" i="1"/>
  <c r="AI6" i="1"/>
  <c r="AG10" i="1"/>
  <c r="AI26" i="1"/>
  <c r="Q126" i="1"/>
  <c r="U27" i="1"/>
  <c r="AG128" i="1"/>
  <c r="AG124" i="1"/>
  <c r="AG122" i="1"/>
  <c r="AG6" i="1"/>
  <c r="AG3" i="1"/>
  <c r="AG11" i="1"/>
  <c r="AI67" i="1"/>
  <c r="AI129" i="1"/>
  <c r="AI27" i="1"/>
  <c r="AM12" i="1"/>
  <c r="AM7" i="1"/>
  <c r="AM3" i="1"/>
  <c r="AM124" i="1"/>
  <c r="AM67" i="1"/>
  <c r="AM26" i="1"/>
  <c r="AM14" i="1"/>
  <c r="AM8" i="1"/>
  <c r="AM129" i="1"/>
  <c r="AM6" i="1"/>
  <c r="AM27" i="1"/>
  <c r="AM13" i="1"/>
  <c r="AM10" i="1"/>
  <c r="AM11" i="1"/>
  <c r="AM25" i="1"/>
  <c r="AM5" i="1"/>
  <c r="AM9" i="1"/>
  <c r="AM126" i="1"/>
  <c r="AM125" i="1"/>
  <c r="AE8" i="1"/>
  <c r="AE26" i="1"/>
  <c r="AE11" i="1"/>
  <c r="AE64" i="1"/>
  <c r="AE15" i="1"/>
  <c r="AE6" i="1"/>
  <c r="AE12" i="1"/>
  <c r="AE4" i="1"/>
  <c r="AE7" i="1"/>
  <c r="AE67" i="1"/>
  <c r="AE9" i="1"/>
  <c r="AE13" i="1"/>
  <c r="AE14" i="1"/>
  <c r="AE27" i="1"/>
  <c r="AE3" i="1"/>
  <c r="AE5" i="1"/>
  <c r="AE10" i="1"/>
  <c r="AC27" i="1"/>
  <c r="AC13" i="1"/>
  <c r="AC3" i="1"/>
  <c r="AC14" i="1"/>
  <c r="AC26" i="1"/>
  <c r="AC6" i="1"/>
  <c r="Y121" i="1"/>
  <c r="Y122" i="1"/>
  <c r="Y129" i="1"/>
  <c r="Y128" i="1"/>
  <c r="Y124" i="1"/>
  <c r="Y67" i="1"/>
  <c r="Y62" i="1"/>
  <c r="Y6" i="1"/>
  <c r="Y26" i="1"/>
  <c r="U13" i="1"/>
  <c r="U9" i="1"/>
  <c r="U7" i="1"/>
  <c r="U5" i="1"/>
  <c r="U10" i="1"/>
  <c r="U8" i="1"/>
  <c r="U12" i="1"/>
  <c r="U3" i="1"/>
  <c r="U4" i="1"/>
  <c r="Y27" i="1"/>
  <c r="W125" i="1"/>
  <c r="W127" i="1"/>
  <c r="W62" i="1"/>
  <c r="W67" i="1"/>
  <c r="W64" i="1"/>
  <c r="W27" i="1"/>
  <c r="U6" i="1"/>
  <c r="U14" i="1"/>
  <c r="Q62" i="1"/>
  <c r="Q64" i="1"/>
  <c r="Q12" i="1"/>
  <c r="Q3" i="1"/>
  <c r="AK122" i="1"/>
  <c r="AK128" i="1"/>
  <c r="AK27" i="1"/>
  <c r="AK3" i="1"/>
  <c r="AK6" i="1"/>
  <c r="AK8" i="1"/>
  <c r="O67" i="1"/>
  <c r="O63" i="1"/>
  <c r="O64" i="1"/>
  <c r="O66" i="1"/>
  <c r="O27" i="1"/>
  <c r="O7" i="1"/>
  <c r="O10" i="1"/>
  <c r="O11" i="1"/>
  <c r="O3" i="1"/>
  <c r="O9" i="1"/>
  <c r="O15" i="1"/>
  <c r="O14" i="1"/>
  <c r="AM66" i="1"/>
  <c r="AM127" i="1"/>
  <c r="AE62" i="1"/>
  <c r="AM65" i="1"/>
  <c r="AC5" i="1"/>
  <c r="K65" i="1"/>
  <c r="M27" i="1"/>
  <c r="M6" i="1"/>
  <c r="M26" i="1"/>
  <c r="M10" i="1"/>
  <c r="M3" i="1"/>
  <c r="M128" i="1"/>
  <c r="M127" i="1"/>
  <c r="M122" i="1"/>
  <c r="M125" i="1"/>
  <c r="M129" i="1"/>
  <c r="M124" i="1"/>
  <c r="M121" i="1"/>
  <c r="M63" i="1"/>
  <c r="M64" i="1"/>
  <c r="M62" i="1"/>
  <c r="M66" i="1"/>
  <c r="AM128" i="1"/>
  <c r="AM123" i="1"/>
  <c r="AM122" i="1"/>
  <c r="G15" i="1"/>
  <c r="I5" i="1"/>
  <c r="G11" i="1"/>
  <c r="AM62" i="1"/>
  <c r="AM64" i="1"/>
  <c r="AM4" i="1"/>
  <c r="I3" i="1"/>
  <c r="C26" i="1"/>
  <c r="G65" i="1"/>
  <c r="G124" i="1"/>
  <c r="K3" i="1"/>
  <c r="I7" i="1"/>
  <c r="K62" i="1"/>
  <c r="C64" i="1"/>
  <c r="C67" i="1"/>
  <c r="C121" i="1"/>
  <c r="I15" i="1"/>
  <c r="I26" i="1"/>
  <c r="I6" i="1"/>
  <c r="I8" i="1"/>
  <c r="I9" i="1"/>
  <c r="I13" i="1"/>
  <c r="I4" i="1"/>
  <c r="I10" i="1"/>
  <c r="I11" i="1"/>
  <c r="I12" i="1"/>
  <c r="I14" i="1"/>
  <c r="I25" i="1"/>
  <c r="K26" i="1"/>
  <c r="E66" i="1"/>
  <c r="C127" i="1"/>
  <c r="E3" i="1"/>
  <c r="K4" i="1"/>
  <c r="E63" i="1"/>
  <c r="E64" i="1"/>
  <c r="E27" i="1"/>
  <c r="E26" i="1"/>
  <c r="K129" i="1"/>
  <c r="G27" i="1"/>
  <c r="C126" i="1"/>
  <c r="C25" i="1"/>
  <c r="C27" i="1"/>
  <c r="I127" i="1"/>
  <c r="I124" i="1"/>
  <c r="I126" i="1"/>
  <c r="I122" i="1"/>
  <c r="I123" i="1"/>
  <c r="AA64" i="1"/>
  <c r="AA62" i="1"/>
  <c r="AA67" i="1"/>
  <c r="AA63" i="1"/>
  <c r="AA65" i="1"/>
  <c r="AA66" i="1"/>
  <c r="AA124" i="1"/>
  <c r="AA128" i="1"/>
  <c r="AA126" i="1"/>
  <c r="AA129" i="1"/>
  <c r="AA122" i="1"/>
  <c r="AA6" i="1"/>
  <c r="AA26" i="1"/>
  <c r="AA27" i="1"/>
  <c r="K123" i="1"/>
  <c r="K126" i="1"/>
  <c r="K127" i="1"/>
  <c r="K27" i="1"/>
  <c r="AA76" i="1"/>
  <c r="Y66" i="1"/>
  <c r="Y63" i="1"/>
  <c r="Y64" i="1"/>
  <c r="AC25" i="1"/>
  <c r="Q76" i="1"/>
  <c r="C65" i="1"/>
  <c r="C129" i="1"/>
  <c r="C122" i="1"/>
  <c r="C123" i="1"/>
  <c r="E67" i="1"/>
  <c r="E129" i="1"/>
  <c r="E123" i="1"/>
  <c r="E126" i="1"/>
  <c r="E121" i="1"/>
  <c r="E125" i="1"/>
  <c r="E124" i="1"/>
  <c r="E127" i="1"/>
  <c r="E122" i="1"/>
  <c r="G3" i="1"/>
  <c r="G6" i="1"/>
  <c r="G63" i="1"/>
  <c r="G64" i="1"/>
  <c r="G66" i="1"/>
  <c r="G62" i="1"/>
  <c r="G14" i="1"/>
  <c r="G9" i="1"/>
  <c r="G10" i="1"/>
  <c r="G26" i="1"/>
  <c r="G7" i="1"/>
  <c r="G5" i="1"/>
  <c r="G4" i="1"/>
  <c r="R82" i="1"/>
  <c r="R81" i="1" s="1" a="1"/>
  <c r="R81" i="1" s="1"/>
  <c r="AC4" i="1"/>
  <c r="AC7" i="1"/>
  <c r="AK9" i="1"/>
  <c r="AI10" i="1"/>
  <c r="AC12" i="1"/>
  <c r="AK16" i="1"/>
  <c r="U25" i="1"/>
  <c r="AK25" i="1"/>
  <c r="O62" i="1"/>
  <c r="AE76" i="1"/>
  <c r="AI121" i="1"/>
  <c r="Q122" i="1"/>
  <c r="M123" i="1"/>
  <c r="AA123" i="1"/>
  <c r="AI124" i="1"/>
  <c r="Q125" i="1"/>
  <c r="AA125" i="1"/>
  <c r="M126" i="1"/>
  <c r="AA127" i="1"/>
  <c r="Q129" i="1"/>
  <c r="M130" i="1"/>
  <c r="AA130" i="1"/>
  <c r="K131" i="1"/>
  <c r="Q131" i="1"/>
  <c r="AI131" i="1"/>
  <c r="AI9" i="1"/>
  <c r="AC8" i="1"/>
  <c r="AC9" i="1"/>
  <c r="AC10" i="1"/>
  <c r="AK10" i="1"/>
  <c r="AK13" i="1"/>
  <c r="AK14" i="1"/>
  <c r="U62" i="1"/>
  <c r="K64" i="1"/>
  <c r="AE65" i="1"/>
  <c r="K121" i="1"/>
  <c r="K122" i="1"/>
  <c r="AI122" i="1"/>
  <c r="AI123" i="1"/>
  <c r="AI126" i="1"/>
  <c r="AI127" i="1"/>
  <c r="AC130" i="1"/>
  <c r="R29" i="1"/>
  <c r="R35" i="1"/>
  <c r="R34" i="1" s="1" a="1"/>
  <c r="R34" i="1" s="1"/>
  <c r="C76" i="1"/>
  <c r="O5" i="1"/>
  <c r="O4" i="1"/>
  <c r="E15" i="1"/>
  <c r="C12" i="1"/>
  <c r="C3" i="1"/>
  <c r="Q14" i="1"/>
  <c r="Q10" i="1"/>
  <c r="Q6" i="1"/>
  <c r="Q5" i="1"/>
  <c r="Q13" i="1"/>
  <c r="Q9" i="1"/>
  <c r="AC75" i="1"/>
  <c r="AC67" i="1"/>
  <c r="AC64" i="1"/>
  <c r="AC63" i="1"/>
  <c r="AK75" i="1"/>
  <c r="AK67" i="1"/>
  <c r="AK76" i="1"/>
  <c r="AK66" i="1"/>
  <c r="AK64" i="1"/>
  <c r="AK63" i="1"/>
  <c r="C4" i="1"/>
  <c r="K8" i="1"/>
  <c r="AG14" i="1"/>
  <c r="AG15" i="1"/>
  <c r="Q16" i="1"/>
  <c r="M13" i="1"/>
  <c r="M9" i="1"/>
  <c r="M5" i="1"/>
  <c r="M16" i="1"/>
  <c r="M25" i="1"/>
  <c r="M12" i="1"/>
  <c r="M8" i="1"/>
  <c r="AA25" i="1"/>
  <c r="AA16" i="1"/>
  <c r="AA12" i="1"/>
  <c r="AA8" i="1"/>
  <c r="AA4" i="1"/>
  <c r="AA15" i="1"/>
  <c r="AA11" i="1"/>
  <c r="AA7" i="1"/>
  <c r="AA3" i="1"/>
  <c r="AK65" i="1"/>
  <c r="AC66" i="1"/>
  <c r="AC76" i="1"/>
  <c r="I67" i="1"/>
  <c r="I66" i="1"/>
  <c r="I65" i="1"/>
  <c r="I64" i="1"/>
  <c r="I76" i="1"/>
  <c r="I75" i="1"/>
  <c r="I63" i="1"/>
  <c r="R31" i="1"/>
  <c r="R30" i="1" s="1" a="1"/>
  <c r="R30" i="1" s="1"/>
  <c r="AA5" i="1"/>
  <c r="E6" i="1"/>
  <c r="C7" i="1"/>
  <c r="Q7" i="1"/>
  <c r="AA9" i="1"/>
  <c r="M14" i="1"/>
  <c r="AA14" i="1"/>
  <c r="AC65" i="1"/>
  <c r="C14" i="1"/>
  <c r="C10" i="1"/>
  <c r="C6" i="1"/>
  <c r="C5" i="1"/>
  <c r="C13" i="1"/>
  <c r="C9" i="1"/>
  <c r="K14" i="1"/>
  <c r="K10" i="1"/>
  <c r="K6" i="1"/>
  <c r="K13" i="1"/>
  <c r="K9" i="1"/>
  <c r="K5" i="1"/>
  <c r="Y13" i="1"/>
  <c r="Y9" i="1"/>
  <c r="Y5" i="1"/>
  <c r="Y4" i="1"/>
  <c r="Y25" i="1"/>
  <c r="Y16" i="1"/>
  <c r="Y12" i="1"/>
  <c r="Y8" i="1"/>
  <c r="AG13" i="1"/>
  <c r="AG9" i="1"/>
  <c r="AG5" i="1"/>
  <c r="AG4" i="1"/>
  <c r="AG25" i="1"/>
  <c r="AG16" i="1"/>
  <c r="AG12" i="1"/>
  <c r="AG8" i="1"/>
  <c r="U75" i="1"/>
  <c r="U67" i="1"/>
  <c r="U64" i="1"/>
  <c r="U65" i="1"/>
  <c r="U63" i="1"/>
  <c r="Y3" i="1"/>
  <c r="C16" i="1"/>
  <c r="E13" i="1"/>
  <c r="E9" i="1"/>
  <c r="E5" i="1"/>
  <c r="E12" i="1"/>
  <c r="E8" i="1"/>
  <c r="E25" i="1"/>
  <c r="E16" i="1"/>
  <c r="E4" i="1"/>
  <c r="AI25" i="1"/>
  <c r="AI16" i="1"/>
  <c r="AI12" i="1"/>
  <c r="AI8" i="1"/>
  <c r="AI4" i="1"/>
  <c r="AI11" i="1"/>
  <c r="AI7" i="1"/>
  <c r="AI3" i="1"/>
  <c r="AI15" i="1"/>
  <c r="K7" i="1"/>
  <c r="K11" i="1"/>
  <c r="Q11" i="1"/>
  <c r="Y11" i="1"/>
  <c r="K12" i="1"/>
  <c r="AI13" i="1"/>
  <c r="AI14" i="1"/>
  <c r="U66" i="1"/>
  <c r="Q4" i="1"/>
  <c r="R33" i="1"/>
  <c r="R32" i="1" s="1" a="1"/>
  <c r="R32" i="1" s="1"/>
  <c r="E7" i="1"/>
  <c r="M7" i="1"/>
  <c r="Y7" i="1"/>
  <c r="C8" i="1"/>
  <c r="Q8" i="1"/>
  <c r="E11" i="1"/>
  <c r="M11" i="1"/>
  <c r="AA13" i="1"/>
  <c r="E14" i="1"/>
  <c r="C15" i="1"/>
  <c r="K15" i="1"/>
  <c r="Q15" i="1"/>
  <c r="Y15" i="1"/>
  <c r="K16" i="1"/>
  <c r="Q25" i="1"/>
  <c r="R84" i="1"/>
  <c r="R83" i="1" s="1" a="1"/>
  <c r="R83" i="1" s="1"/>
  <c r="R80" i="1"/>
  <c r="R79" i="1" s="1" a="1"/>
  <c r="R79" i="1" s="1"/>
  <c r="R78" i="1"/>
  <c r="U129" i="1"/>
  <c r="U125" i="1"/>
  <c r="U121" i="1"/>
  <c r="U126" i="1"/>
  <c r="U128" i="1"/>
  <c r="AK129" i="1"/>
  <c r="AK125" i="1"/>
  <c r="AK121" i="1"/>
  <c r="AK131" i="1"/>
  <c r="AK126" i="1"/>
  <c r="AK123" i="1"/>
  <c r="AK124" i="1"/>
  <c r="R141" i="1"/>
  <c r="R140" i="1" s="1" a="1"/>
  <c r="R140" i="1" s="1"/>
  <c r="R137" i="1"/>
  <c r="R143" i="1"/>
  <c r="R142" i="1" s="1" a="1"/>
  <c r="R142" i="1" s="1"/>
  <c r="R139" i="1"/>
  <c r="R138" i="1" s="1" a="1"/>
  <c r="R138" i="1" s="1"/>
  <c r="AC122" i="1"/>
  <c r="U130" i="1"/>
  <c r="AK130" i="1"/>
  <c r="G130" i="1"/>
  <c r="G126" i="1"/>
  <c r="G122" i="1"/>
  <c r="G129" i="1"/>
  <c r="G128" i="1"/>
  <c r="G121" i="1"/>
  <c r="G127" i="1"/>
  <c r="O130" i="1"/>
  <c r="O126" i="1"/>
  <c r="O122" i="1"/>
  <c r="O129" i="1"/>
  <c r="O128" i="1"/>
  <c r="O127" i="1"/>
  <c r="O121" i="1"/>
  <c r="W128" i="1"/>
  <c r="W124" i="1"/>
  <c r="W131" i="1"/>
  <c r="W130" i="1"/>
  <c r="W129" i="1"/>
  <c r="W123" i="1"/>
  <c r="W122" i="1"/>
  <c r="W121" i="1"/>
  <c r="AE128" i="1"/>
  <c r="AE124" i="1"/>
  <c r="AE127" i="1"/>
  <c r="AE125" i="1"/>
  <c r="AE130" i="1"/>
  <c r="AE122" i="1"/>
  <c r="U131" i="1"/>
  <c r="AC129" i="1"/>
  <c r="AC125" i="1"/>
  <c r="AC121" i="1"/>
  <c r="AC126" i="1"/>
  <c r="AC124" i="1"/>
  <c r="AC127" i="1"/>
  <c r="G8" i="1"/>
  <c r="O8" i="1"/>
  <c r="U11" i="1"/>
  <c r="AC11" i="1"/>
  <c r="AK11" i="1"/>
  <c r="G12" i="1"/>
  <c r="O12" i="1"/>
  <c r="G16" i="1"/>
  <c r="O16" i="1"/>
  <c r="C63" i="1"/>
  <c r="K63" i="1"/>
  <c r="Q63" i="1"/>
  <c r="W63" i="1"/>
  <c r="AE63" i="1"/>
  <c r="Q65" i="1"/>
  <c r="W65" i="1"/>
  <c r="K67" i="1"/>
  <c r="K75" i="1"/>
  <c r="AE75" i="1"/>
  <c r="K76" i="1"/>
  <c r="E76" i="1"/>
  <c r="E65" i="1"/>
  <c r="M76" i="1"/>
  <c r="M65" i="1"/>
  <c r="Y76" i="1"/>
  <c r="Y65" i="1"/>
  <c r="AG76" i="1"/>
  <c r="AG65" i="1"/>
  <c r="U122" i="1"/>
  <c r="G123" i="1"/>
  <c r="O123" i="1"/>
  <c r="AE123" i="1"/>
  <c r="O124" i="1"/>
  <c r="U124" i="1"/>
  <c r="AC131" i="1"/>
  <c r="I129" i="1"/>
  <c r="I125" i="1"/>
  <c r="I121" i="1"/>
  <c r="Y131" i="1"/>
  <c r="Y127" i="1"/>
  <c r="Y123" i="1"/>
  <c r="AG131" i="1"/>
  <c r="AG127" i="1"/>
  <c r="AG123" i="1"/>
  <c r="Y130" i="1"/>
  <c r="AG130" i="1"/>
  <c r="C128" i="1"/>
  <c r="C124" i="1"/>
  <c r="K128" i="1"/>
  <c r="K124" i="1"/>
  <c r="Q128" i="1"/>
  <c r="Q124" i="1"/>
  <c r="AP66" i="1" l="1"/>
  <c r="AP11" i="1"/>
  <c r="AP63" i="1"/>
  <c r="AP65" i="1"/>
  <c r="AP62" i="1"/>
  <c r="AP67" i="1"/>
  <c r="AP10" i="1"/>
  <c r="AP27" i="1"/>
  <c r="AQ27" i="1" s="1"/>
  <c r="AP64" i="1"/>
  <c r="AP6" i="1"/>
  <c r="AP7" i="1"/>
  <c r="AP12" i="1"/>
  <c r="AP9" i="1"/>
  <c r="AP8" i="1"/>
  <c r="AP13" i="1"/>
  <c r="AP14" i="1"/>
  <c r="AP4" i="1"/>
  <c r="AP25" i="1"/>
  <c r="AP15" i="1"/>
  <c r="AP5" i="1"/>
  <c r="AP3" i="1"/>
  <c r="AP26" i="1"/>
  <c r="AQ7" i="1" l="1"/>
  <c r="AQ3" i="1"/>
  <c r="AQ25" i="1"/>
  <c r="AQ4" i="1"/>
  <c r="AQ26" i="1"/>
  <c r="AQ67" i="1"/>
  <c r="AQ64" i="1"/>
  <c r="AQ65" i="1"/>
  <c r="AQ63" i="1"/>
  <c r="AQ66" i="1"/>
  <c r="AQ126" i="1"/>
  <c r="AQ8" i="1"/>
  <c r="AQ6" i="1"/>
  <c r="AQ127" i="1"/>
  <c r="AQ11" i="1"/>
  <c r="AQ9" i="1"/>
  <c r="AQ15" i="1"/>
  <c r="AQ128" i="1"/>
  <c r="AQ125" i="1"/>
  <c r="AQ129" i="1"/>
  <c r="AQ123" i="1"/>
  <c r="AQ14" i="1"/>
  <c r="AQ13" i="1"/>
  <c r="AQ121" i="1"/>
  <c r="AQ5" i="1"/>
  <c r="AQ124" i="1"/>
  <c r="AQ10" i="1"/>
  <c r="AQ62" i="1"/>
  <c r="AQ12" i="1"/>
  <c r="AQ122" i="1"/>
  <c r="AS26" i="1" l="1"/>
  <c r="AT26" i="1" s="1"/>
  <c r="AS27" i="1"/>
  <c r="AT27" i="1" s="1"/>
  <c r="AS25" i="1"/>
  <c r="AT25" i="1" s="1"/>
  <c r="AS3" i="1"/>
  <c r="AT3" i="1" s="1"/>
  <c r="AS15" i="1"/>
  <c r="AT15" i="1" s="1"/>
  <c r="AS11" i="1"/>
  <c r="AT11" i="1" s="1"/>
  <c r="AS7" i="1"/>
  <c r="AT7" i="1" s="1"/>
  <c r="AS14" i="1"/>
  <c r="AT14" i="1" s="1"/>
  <c r="AS10" i="1"/>
  <c r="AT10" i="1" s="1"/>
  <c r="AS6" i="1"/>
  <c r="AT6" i="1" s="1"/>
  <c r="AS8" i="1"/>
  <c r="AT8" i="1" s="1"/>
  <c r="AS4" i="1"/>
  <c r="AT4" i="1" s="1"/>
  <c r="AS13" i="1"/>
  <c r="AT13" i="1" s="1"/>
  <c r="AS12" i="1"/>
  <c r="AT12" i="1" s="1"/>
  <c r="AS9" i="1"/>
  <c r="AT9" i="1" s="1"/>
  <c r="AS5" i="1"/>
  <c r="AT5" i="1" s="1"/>
  <c r="AS129" i="1"/>
  <c r="AT129" i="1" s="1"/>
  <c r="AS125" i="1"/>
  <c r="AT125" i="1" s="1"/>
  <c r="AS121" i="1"/>
  <c r="AT121" i="1" s="1"/>
  <c r="AS126" i="1"/>
  <c r="AT126" i="1" s="1"/>
  <c r="AS124" i="1"/>
  <c r="AT124" i="1" s="1"/>
  <c r="AS123" i="1"/>
  <c r="AT123" i="1" s="1"/>
  <c r="AS127" i="1"/>
  <c r="AT127" i="1" s="1"/>
  <c r="AS122" i="1"/>
  <c r="AT122" i="1" s="1"/>
  <c r="AS128" i="1"/>
  <c r="AT128" i="1" s="1"/>
  <c r="AS67" i="1"/>
  <c r="AT67" i="1" s="1"/>
  <c r="AS66" i="1"/>
  <c r="AT66" i="1" s="1"/>
  <c r="AS65" i="1"/>
  <c r="AT65" i="1" s="1"/>
  <c r="AS64" i="1"/>
  <c r="AT64" i="1" s="1"/>
  <c r="AS63" i="1"/>
  <c r="AT63" i="1" s="1"/>
  <c r="AS62" i="1"/>
  <c r="AT62" i="1" s="1"/>
</calcChain>
</file>

<file path=xl/sharedStrings.xml><?xml version="1.0" encoding="utf-8"?>
<sst xmlns="http://schemas.openxmlformats.org/spreadsheetml/2006/main" count="326" uniqueCount="70">
  <si>
    <t>Men's</t>
  </si>
  <si>
    <t>Singles Canoeing</t>
  </si>
  <si>
    <t>Doubles Canoeing</t>
  </si>
  <si>
    <t>Portage Canoeing</t>
  </si>
  <si>
    <t>Team Pulp Toss</t>
  </si>
  <si>
    <t>Log Rolling</t>
  </si>
  <si>
    <t>Packboard Relay</t>
  </si>
  <si>
    <t>Axe Throw</t>
  </si>
  <si>
    <t>Single Buck</t>
  </si>
  <si>
    <t>Birling</t>
  </si>
  <si>
    <t>Chain Throw</t>
  </si>
  <si>
    <t>Disc Stack</t>
  </si>
  <si>
    <t>Vertical Chop</t>
  </si>
  <si>
    <t>Scoot Load</t>
  </si>
  <si>
    <t>Crosscut Sawing</t>
  </si>
  <si>
    <t>Team Bucksaw</t>
  </si>
  <si>
    <t>Horizontal Chop</t>
  </si>
  <si>
    <t>Splitting</t>
  </si>
  <si>
    <t>Teams</t>
  </si>
  <si>
    <t>Time</t>
  </si>
  <si>
    <t>Score</t>
  </si>
  <si>
    <t>Mark</t>
  </si>
  <si>
    <t>Raw Pts</t>
  </si>
  <si>
    <t>TEAM</t>
  </si>
  <si>
    <t>TOTAL</t>
  </si>
  <si>
    <t>RANK</t>
  </si>
  <si>
    <t>Rank</t>
  </si>
  <si>
    <t>Team</t>
  </si>
  <si>
    <t>Alfred State</t>
  </si>
  <si>
    <t>FLCC</t>
  </si>
  <si>
    <t>Morrisville</t>
  </si>
  <si>
    <t>Paul Smiths</t>
  </si>
  <si>
    <t>ESF</t>
  </si>
  <si>
    <t>Unity</t>
  </si>
  <si>
    <t>UMO</t>
  </si>
  <si>
    <t>Dartmouth A</t>
  </si>
  <si>
    <t>Dartmouth B</t>
  </si>
  <si>
    <t>Top U-Grad Score</t>
  </si>
  <si>
    <t>1st Place</t>
  </si>
  <si>
    <t>Result</t>
  </si>
  <si>
    <t>2nd Place</t>
  </si>
  <si>
    <t>3rd Place</t>
  </si>
  <si>
    <t>Women's</t>
  </si>
  <si>
    <t>Portage</t>
  </si>
  <si>
    <t>Team Pulp Throw</t>
  </si>
  <si>
    <t>Scootloading</t>
  </si>
  <si>
    <t>Bucksawing</t>
  </si>
  <si>
    <t>Colby</t>
  </si>
  <si>
    <t>Cobleskill</t>
  </si>
  <si>
    <t>Dartmouth</t>
  </si>
  <si>
    <t>Top U-grad Score</t>
  </si>
  <si>
    <t>J&amp;J</t>
  </si>
  <si>
    <t>UNH</t>
  </si>
  <si>
    <t>UVM</t>
  </si>
  <si>
    <t>Best time</t>
  </si>
  <si>
    <t>Score from final</t>
  </si>
  <si>
    <t>Average</t>
  </si>
  <si>
    <t>Colby Alum</t>
  </si>
  <si>
    <t>FLCC Alum</t>
  </si>
  <si>
    <t>Ranger</t>
  </si>
  <si>
    <t>Finger Lakes</t>
  </si>
  <si>
    <t>UConn</t>
  </si>
  <si>
    <t>Alfred</t>
  </si>
  <si>
    <t>Dartmouth Alum</t>
  </si>
  <si>
    <t>Packboard Relay w/ Firebuild</t>
  </si>
  <si>
    <t>Pole Climb</t>
  </si>
  <si>
    <t>Crosscut to Death</t>
  </si>
  <si>
    <t xml:space="preserve"> </t>
  </si>
  <si>
    <t>Kevin Donohue, Head Scorer</t>
  </si>
  <si>
    <t>(TIE)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</si>
</sst>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:ss.00"/>
  </numFmts>
  <fonts count="7">
    <font>
      <sz val="10"/>
      <color rgb="FF000000"/>
      <name val="Arimo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mo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rgb="FFD9D9D9"/>
        <bgColor rgb="FFD8D8D8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</borders>
  <cellStyleXfs count="1">
    <xf numFmtId="0" fontId="0" fillId="0" borderId="0"/>
  </cellStyleXfs>
  <cellXfs count="275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47" fontId="1" fillId="0" borderId="2" xfId="0" applyNumberFormat="1" applyFont="1" applyBorder="1"/>
    <xf numFmtId="1" fontId="1" fillId="0" borderId="2" xfId="0" applyNumberFormat="1" applyFont="1" applyBorder="1"/>
    <xf numFmtId="0" fontId="1" fillId="0" borderId="4" xfId="0" applyFont="1" applyBorder="1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1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right"/>
    </xf>
    <xf numFmtId="2" fontId="1" fillId="0" borderId="7" xfId="0" applyNumberFormat="1" applyFont="1" applyBorder="1"/>
    <xf numFmtId="47" fontId="1" fillId="0" borderId="7" xfId="0" applyNumberFormat="1" applyFont="1" applyBorder="1"/>
    <xf numFmtId="1" fontId="1" fillId="0" borderId="7" xfId="0" applyNumberFormat="1" applyFont="1" applyBorder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/>
    <xf numFmtId="164" fontId="3" fillId="3" borderId="5" xfId="0" applyNumberFormat="1" applyFont="1" applyFill="1" applyBorder="1"/>
    <xf numFmtId="0" fontId="0" fillId="2" borderId="12" xfId="0" applyFont="1" applyFill="1" applyBorder="1"/>
    <xf numFmtId="47" fontId="1" fillId="2" borderId="13" xfId="0" applyNumberFormat="1" applyFont="1" applyFill="1" applyBorder="1"/>
    <xf numFmtId="164" fontId="2" fillId="2" borderId="14" xfId="0" applyNumberFormat="1" applyFont="1" applyFill="1" applyBorder="1"/>
    <xf numFmtId="47" fontId="0" fillId="2" borderId="5" xfId="0" applyNumberFormat="1" applyFont="1" applyFill="1" applyBorder="1"/>
    <xf numFmtId="1" fontId="1" fillId="2" borderId="13" xfId="0" applyNumberFormat="1" applyFont="1" applyFill="1" applyBorder="1"/>
    <xf numFmtId="164" fontId="1" fillId="2" borderId="13" xfId="0" applyNumberFormat="1" applyFont="1" applyFill="1" applyBorder="1"/>
    <xf numFmtId="0" fontId="0" fillId="2" borderId="15" xfId="0" applyFont="1" applyFill="1" applyBorder="1"/>
    <xf numFmtId="164" fontId="2" fillId="2" borderId="16" xfId="0" applyNumberFormat="1" applyFont="1" applyFill="1" applyBorder="1" applyAlignment="1">
      <alignment horizontal="center"/>
    </xf>
    <xf numFmtId="1" fontId="2" fillId="2" borderId="17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64" fontId="1" fillId="2" borderId="5" xfId="0" applyNumberFormat="1" applyFont="1" applyFill="1" applyBorder="1"/>
    <xf numFmtId="0" fontId="0" fillId="0" borderId="4" xfId="0" applyFont="1" applyBorder="1"/>
    <xf numFmtId="47" fontId="1" fillId="0" borderId="4" xfId="0" applyNumberFormat="1" applyFont="1" applyBorder="1"/>
    <xf numFmtId="164" fontId="2" fillId="0" borderId="18" xfId="0" applyNumberFormat="1" applyFont="1" applyBorder="1"/>
    <xf numFmtId="47" fontId="0" fillId="0" borderId="0" xfId="0" applyNumberFormat="1" applyFont="1"/>
    <xf numFmtId="47" fontId="1" fillId="0" borderId="0" xfId="0" applyNumberFormat="1" applyFont="1"/>
    <xf numFmtId="1" fontId="1" fillId="0" borderId="4" xfId="0" applyNumberFormat="1" applyFont="1" applyBorder="1"/>
    <xf numFmtId="164" fontId="1" fillId="0" borderId="4" xfId="0" applyNumberFormat="1" applyFont="1" applyBorder="1"/>
    <xf numFmtId="0" fontId="0" fillId="0" borderId="19" xfId="0" applyFont="1" applyBorder="1"/>
    <xf numFmtId="164" fontId="2" fillId="0" borderId="20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47" fontId="1" fillId="2" borderId="12" xfId="0" applyNumberFormat="1" applyFont="1" applyFill="1" applyBorder="1"/>
    <xf numFmtId="164" fontId="2" fillId="2" borderId="22" xfId="0" applyNumberFormat="1" applyFont="1" applyFill="1" applyBorder="1"/>
    <xf numFmtId="47" fontId="1" fillId="2" borderId="5" xfId="0" applyNumberFormat="1" applyFont="1" applyFill="1" applyBorder="1"/>
    <xf numFmtId="1" fontId="1" fillId="2" borderId="12" xfId="0" applyNumberFormat="1" applyFont="1" applyFill="1" applyBorder="1"/>
    <xf numFmtId="164" fontId="1" fillId="2" borderId="12" xfId="0" applyNumberFormat="1" applyFont="1" applyFill="1" applyBorder="1"/>
    <xf numFmtId="1" fontId="2" fillId="2" borderId="23" xfId="0" applyNumberFormat="1" applyFont="1" applyFill="1" applyBorder="1" applyAlignment="1">
      <alignment horizontal="center"/>
    </xf>
    <xf numFmtId="0" fontId="1" fillId="2" borderId="12" xfId="0" applyFont="1" applyFill="1" applyBorder="1"/>
    <xf numFmtId="164" fontId="2" fillId="0" borderId="0" xfId="0" applyNumberFormat="1" applyFont="1"/>
    <xf numFmtId="1" fontId="1" fillId="2" borderId="5" xfId="0" applyNumberFormat="1" applyFont="1" applyFill="1" applyBorder="1"/>
    <xf numFmtId="164" fontId="2" fillId="2" borderId="5" xfId="0" applyNumberFormat="1" applyFont="1" applyFill="1" applyBorder="1" applyAlignment="1">
      <alignment horizontal="center"/>
    </xf>
    <xf numFmtId="164" fontId="2" fillId="0" borderId="8" xfId="0" applyNumberFormat="1" applyFont="1" applyBorder="1"/>
    <xf numFmtId="47" fontId="1" fillId="0" borderId="24" xfId="0" applyNumberFormat="1" applyFont="1" applyBorder="1"/>
    <xf numFmtId="1" fontId="2" fillId="0" borderId="26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6" xfId="0" applyFont="1" applyFill="1" applyBorder="1"/>
    <xf numFmtId="0" fontId="1" fillId="0" borderId="20" xfId="0" applyFont="1" applyBorder="1"/>
    <xf numFmtId="0" fontId="1" fillId="0" borderId="28" xfId="0" applyFont="1" applyBorder="1"/>
    <xf numFmtId="0" fontId="1" fillId="2" borderId="27" xfId="0" applyFont="1" applyFill="1" applyBorder="1"/>
    <xf numFmtId="0" fontId="1" fillId="2" borderId="14" xfId="0" applyFont="1" applyFill="1" applyBorder="1"/>
    <xf numFmtId="47" fontId="1" fillId="2" borderId="14" xfId="0" applyNumberFormat="1" applyFont="1" applyFill="1" applyBorder="1"/>
    <xf numFmtId="0" fontId="2" fillId="0" borderId="1" xfId="0" applyFont="1" applyBorder="1"/>
    <xf numFmtId="47" fontId="2" fillId="0" borderId="3" xfId="0" applyNumberFormat="1" applyFont="1" applyBorder="1"/>
    <xf numFmtId="0" fontId="1" fillId="0" borderId="6" xfId="0" applyFont="1" applyBorder="1" applyAlignment="1">
      <alignment horizontal="right"/>
    </xf>
    <xf numFmtId="47" fontId="2" fillId="0" borderId="8" xfId="0" applyNumberFormat="1" applyFont="1" applyBorder="1"/>
    <xf numFmtId="0" fontId="2" fillId="0" borderId="8" xfId="0" applyFont="1" applyBorder="1"/>
    <xf numFmtId="0" fontId="2" fillId="2" borderId="27" xfId="0" applyFont="1" applyFill="1" applyBorder="1"/>
    <xf numFmtId="0" fontId="1" fillId="2" borderId="13" xfId="0" applyFont="1" applyFill="1" applyBorder="1"/>
    <xf numFmtId="47" fontId="2" fillId="2" borderId="14" xfId="0" applyNumberFormat="1" applyFont="1" applyFill="1" applyBorder="1"/>
    <xf numFmtId="0" fontId="2" fillId="2" borderId="14" xfId="0" applyFont="1" applyFill="1" applyBorder="1"/>
    <xf numFmtId="0" fontId="2" fillId="2" borderId="5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right"/>
    </xf>
    <xf numFmtId="47" fontId="1" fillId="2" borderId="32" xfId="0" applyNumberFormat="1" applyFont="1" applyFill="1" applyBorder="1"/>
    <xf numFmtId="47" fontId="2" fillId="2" borderId="33" xfId="0" applyNumberFormat="1" applyFont="1" applyFill="1" applyBorder="1"/>
    <xf numFmtId="1" fontId="1" fillId="2" borderId="32" xfId="0" applyNumberFormat="1" applyFont="1" applyFill="1" applyBorder="1"/>
    <xf numFmtId="0" fontId="2" fillId="2" borderId="33" xfId="0" applyFont="1" applyFill="1" applyBorder="1"/>
    <xf numFmtId="0" fontId="1" fillId="2" borderId="32" xfId="0" applyFont="1" applyFill="1" applyBorder="1"/>
    <xf numFmtId="0" fontId="1" fillId="2" borderId="5" xfId="0" applyFont="1" applyFill="1" applyBorder="1" applyAlignment="1">
      <alignment horizontal="right"/>
    </xf>
    <xf numFmtId="47" fontId="2" fillId="2" borderId="5" xfId="0" applyNumberFormat="1" applyFont="1" applyFill="1" applyBorder="1"/>
    <xf numFmtId="0" fontId="2" fillId="2" borderId="5" xfId="0" applyFont="1" applyFill="1" applyBorder="1"/>
    <xf numFmtId="1" fontId="2" fillId="2" borderId="5" xfId="0" applyNumberFormat="1" applyFont="1" applyFill="1" applyBorder="1"/>
    <xf numFmtId="2" fontId="1" fillId="2" borderId="5" xfId="0" applyNumberFormat="1" applyFont="1" applyFill="1" applyBorder="1"/>
    <xf numFmtId="47" fontId="1" fillId="0" borderId="34" xfId="0" applyNumberFormat="1" applyFont="1" applyBorder="1"/>
    <xf numFmtId="20" fontId="0" fillId="2" borderId="5" xfId="0" applyNumberFormat="1" applyFont="1" applyFill="1" applyBorder="1"/>
    <xf numFmtId="20" fontId="0" fillId="0" borderId="0" xfId="0" applyNumberFormat="1" applyFont="1"/>
    <xf numFmtId="0" fontId="1" fillId="2" borderId="31" xfId="0" applyFont="1" applyFill="1" applyBorder="1"/>
    <xf numFmtId="0" fontId="1" fillId="2" borderId="35" xfId="0" applyFont="1" applyFill="1" applyBorder="1"/>
    <xf numFmtId="2" fontId="1" fillId="2" borderId="35" xfId="0" applyNumberFormat="1" applyFont="1" applyFill="1" applyBorder="1"/>
    <xf numFmtId="47" fontId="1" fillId="2" borderId="35" xfId="0" applyNumberFormat="1" applyFont="1" applyFill="1" applyBorder="1"/>
    <xf numFmtId="1" fontId="1" fillId="2" borderId="35" xfId="0" applyNumberFormat="1" applyFont="1" applyFill="1" applyBorder="1"/>
    <xf numFmtId="2" fontId="1" fillId="2" borderId="32" xfId="0" applyNumberFormat="1" applyFont="1" applyFill="1" applyBorder="1"/>
    <xf numFmtId="0" fontId="1" fillId="2" borderId="15" xfId="0" applyFont="1" applyFill="1" applyBorder="1"/>
    <xf numFmtId="0" fontId="2" fillId="2" borderId="16" xfId="0" applyFont="1" applyFill="1" applyBorder="1"/>
    <xf numFmtId="1" fontId="2" fillId="2" borderId="17" xfId="0" applyNumberFormat="1" applyFont="1" applyFill="1" applyBorder="1"/>
    <xf numFmtId="164" fontId="2" fillId="0" borderId="3" xfId="0" applyNumberFormat="1" applyFont="1" applyBorder="1"/>
    <xf numFmtId="47" fontId="0" fillId="0" borderId="34" xfId="0" applyNumberFormat="1" applyFont="1" applyBorder="1"/>
    <xf numFmtId="21" fontId="0" fillId="0" borderId="34" xfId="0" applyNumberFormat="1" applyFont="1" applyBorder="1"/>
    <xf numFmtId="164" fontId="1" fillId="0" borderId="2" xfId="0" applyNumberFormat="1" applyFont="1" applyBorder="1"/>
    <xf numFmtId="47" fontId="0" fillId="0" borderId="2" xfId="0" applyNumberFormat="1" applyFont="1" applyBorder="1"/>
    <xf numFmtId="0" fontId="1" fillId="0" borderId="36" xfId="0" applyFont="1" applyBorder="1"/>
    <xf numFmtId="164" fontId="2" fillId="0" borderId="1" xfId="0" applyNumberFormat="1" applyFont="1" applyBorder="1" applyAlignment="1">
      <alignment horizontal="center"/>
    </xf>
    <xf numFmtId="1" fontId="2" fillId="0" borderId="37" xfId="0" applyNumberFormat="1" applyFont="1" applyBorder="1" applyAlignment="1">
      <alignment horizontal="center"/>
    </xf>
    <xf numFmtId="164" fontId="2" fillId="2" borderId="33" xfId="0" applyNumberFormat="1" applyFont="1" applyFill="1" applyBorder="1"/>
    <xf numFmtId="47" fontId="0" fillId="2" borderId="35" xfId="0" applyNumberFormat="1" applyFont="1" applyFill="1" applyBorder="1"/>
    <xf numFmtId="21" fontId="0" fillId="2" borderId="35" xfId="0" applyNumberFormat="1" applyFont="1" applyFill="1" applyBorder="1"/>
    <xf numFmtId="164" fontId="1" fillId="2" borderId="32" xfId="0" applyNumberFormat="1" applyFont="1" applyFill="1" applyBorder="1"/>
    <xf numFmtId="164" fontId="2" fillId="0" borderId="29" xfId="0" applyNumberFormat="1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2" fontId="2" fillId="0" borderId="3" xfId="0" applyNumberFormat="1" applyFont="1" applyBorder="1"/>
    <xf numFmtId="2" fontId="2" fillId="0" borderId="8" xfId="0" applyNumberFormat="1" applyFont="1" applyBorder="1"/>
    <xf numFmtId="2" fontId="2" fillId="2" borderId="14" xfId="0" applyNumberFormat="1" applyFont="1" applyFill="1" applyBorder="1"/>
    <xf numFmtId="2" fontId="2" fillId="2" borderId="33" xfId="0" applyNumberFormat="1" applyFont="1" applyFill="1" applyBorder="1"/>
    <xf numFmtId="0" fontId="1" fillId="0" borderId="20" xfId="0" applyFont="1" applyBorder="1" applyAlignment="1">
      <alignment horizontal="right"/>
    </xf>
    <xf numFmtId="0" fontId="2" fillId="0" borderId="18" xfId="0" applyFont="1" applyBorder="1"/>
    <xf numFmtId="2" fontId="2" fillId="0" borderId="18" xfId="0" applyNumberFormat="1" applyFont="1" applyBorder="1"/>
    <xf numFmtId="47" fontId="1" fillId="0" borderId="18" xfId="0" applyNumberFormat="1" applyFont="1" applyBorder="1"/>
    <xf numFmtId="0" fontId="1" fillId="2" borderId="38" xfId="0" applyFont="1" applyFill="1" applyBorder="1"/>
    <xf numFmtId="2" fontId="1" fillId="2" borderId="38" xfId="0" applyNumberFormat="1" applyFont="1" applyFill="1" applyBorder="1"/>
    <xf numFmtId="47" fontId="1" fillId="2" borderId="38" xfId="0" applyNumberFormat="1" applyFont="1" applyFill="1" applyBorder="1"/>
    <xf numFmtId="1" fontId="1" fillId="2" borderId="38" xfId="0" applyNumberFormat="1" applyFont="1" applyFill="1" applyBorder="1"/>
    <xf numFmtId="0" fontId="2" fillId="2" borderId="38" xfId="0" applyFont="1" applyFill="1" applyBorder="1" applyAlignment="1">
      <alignment horizontal="center"/>
    </xf>
    <xf numFmtId="164" fontId="1" fillId="2" borderId="38" xfId="0" applyNumberFormat="1" applyFont="1" applyFill="1" applyBorder="1"/>
    <xf numFmtId="21" fontId="0" fillId="2" borderId="5" xfId="0" applyNumberFormat="1" applyFont="1" applyFill="1" applyBorder="1"/>
    <xf numFmtId="20" fontId="0" fillId="0" borderId="34" xfId="0" applyNumberFormat="1" applyFont="1" applyBorder="1"/>
    <xf numFmtId="20" fontId="0" fillId="2" borderId="35" xfId="0" applyNumberFormat="1" applyFont="1" applyFill="1" applyBorder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" fillId="2" borderId="13" xfId="0" applyFont="1" applyFill="1" applyBorder="1" applyAlignment="1">
      <alignment horizontal="right"/>
    </xf>
    <xf numFmtId="0" fontId="5" fillId="0" borderId="20" xfId="0" applyFont="1" applyBorder="1"/>
    <xf numFmtId="0" fontId="5" fillId="2" borderId="16" xfId="0" applyFont="1" applyFill="1" applyBorder="1"/>
    <xf numFmtId="0" fontId="5" fillId="2" borderId="31" xfId="0" applyFont="1" applyFill="1" applyBorder="1"/>
    <xf numFmtId="0" fontId="5" fillId="0" borderId="1" xfId="0" applyFont="1" applyBorder="1"/>
    <xf numFmtId="2" fontId="0" fillId="0" borderId="5" xfId="0" applyNumberFormat="1" applyFont="1" applyBorder="1" applyAlignment="1">
      <alignment horizontal="center"/>
    </xf>
    <xf numFmtId="0" fontId="5" fillId="4" borderId="16" xfId="0" applyFont="1" applyFill="1" applyBorder="1"/>
    <xf numFmtId="47" fontId="1" fillId="4" borderId="12" xfId="0" applyNumberFormat="1" applyFont="1" applyFill="1" applyBorder="1"/>
    <xf numFmtId="164" fontId="2" fillId="5" borderId="18" xfId="0" applyNumberFormat="1" applyFont="1" applyFill="1" applyBorder="1"/>
    <xf numFmtId="47" fontId="0" fillId="4" borderId="5" xfId="0" applyNumberFormat="1" applyFont="1" applyFill="1" applyBorder="1"/>
    <xf numFmtId="47" fontId="1" fillId="4" borderId="5" xfId="0" applyNumberFormat="1" applyFont="1" applyFill="1" applyBorder="1"/>
    <xf numFmtId="1" fontId="1" fillId="4" borderId="12" xfId="0" applyNumberFormat="1" applyFont="1" applyFill="1" applyBorder="1"/>
    <xf numFmtId="47" fontId="5" fillId="4" borderId="5" xfId="0" applyNumberFormat="1" applyFont="1" applyFill="1" applyBorder="1"/>
    <xf numFmtId="0" fontId="1" fillId="4" borderId="5" xfId="0" applyFont="1" applyFill="1" applyBorder="1"/>
    <xf numFmtId="164" fontId="1" fillId="4" borderId="5" xfId="0" applyNumberFormat="1" applyFont="1" applyFill="1" applyBorder="1"/>
    <xf numFmtId="0" fontId="0" fillId="5" borderId="0" xfId="0" applyFont="1" applyFill="1" applyAlignment="1"/>
    <xf numFmtId="47" fontId="1" fillId="0" borderId="38" xfId="0" applyNumberFormat="1" applyFont="1" applyBorder="1"/>
    <xf numFmtId="0" fontId="2" fillId="2" borderId="22" xfId="0" applyFont="1" applyFill="1" applyBorder="1"/>
    <xf numFmtId="0" fontId="2" fillId="2" borderId="40" xfId="0" applyFont="1" applyFill="1" applyBorder="1"/>
    <xf numFmtId="0" fontId="2" fillId="0" borderId="41" xfId="0" applyFont="1" applyFill="1" applyBorder="1"/>
    <xf numFmtId="0" fontId="5" fillId="0" borderId="13" xfId="0" applyFont="1" applyBorder="1"/>
    <xf numFmtId="47" fontId="5" fillId="0" borderId="42" xfId="0" applyNumberFormat="1" applyFont="1" applyBorder="1" applyAlignment="1"/>
    <xf numFmtId="47" fontId="5" fillId="2" borderId="44" xfId="0" applyNumberFormat="1" applyFont="1" applyFill="1" applyBorder="1" applyAlignment="1"/>
    <xf numFmtId="0" fontId="5" fillId="2" borderId="45" xfId="0" applyFont="1" applyFill="1" applyBorder="1" applyAlignment="1"/>
    <xf numFmtId="164" fontId="2" fillId="2" borderId="5" xfId="0" applyNumberFormat="1" applyFont="1" applyFill="1" applyBorder="1"/>
    <xf numFmtId="164" fontId="2" fillId="0" borderId="5" xfId="0" applyNumberFormat="1" applyFont="1" applyBorder="1"/>
    <xf numFmtId="164" fontId="2" fillId="5" borderId="5" xfId="0" applyNumberFormat="1" applyFont="1" applyFill="1" applyBorder="1"/>
    <xf numFmtId="165" fontId="1" fillId="0" borderId="12" xfId="0" applyNumberFormat="1" applyFont="1" applyBorder="1"/>
    <xf numFmtId="164" fontId="2" fillId="0" borderId="22" xfId="0" applyNumberFormat="1" applyFont="1" applyBorder="1"/>
    <xf numFmtId="164" fontId="1" fillId="4" borderId="43" xfId="0" applyNumberFormat="1" applyFont="1" applyFill="1" applyBorder="1"/>
    <xf numFmtId="164" fontId="1" fillId="2" borderId="48" xfId="0" applyNumberFormat="1" applyFont="1" applyFill="1" applyBorder="1"/>
    <xf numFmtId="164" fontId="1" fillId="0" borderId="43" xfId="0" applyNumberFormat="1" applyFont="1" applyFill="1" applyBorder="1"/>
    <xf numFmtId="164" fontId="6" fillId="2" borderId="41" xfId="0" applyNumberFormat="1" applyFont="1" applyFill="1" applyBorder="1"/>
    <xf numFmtId="164" fontId="6" fillId="0" borderId="47" xfId="0" applyNumberFormat="1" applyFont="1" applyFill="1" applyBorder="1"/>
    <xf numFmtId="164" fontId="6" fillId="4" borderId="47" xfId="0" applyNumberFormat="1" applyFont="1" applyFill="1" applyBorder="1"/>
    <xf numFmtId="2" fontId="5" fillId="0" borderId="2" xfId="0" applyNumberFormat="1" applyFont="1" applyBorder="1"/>
    <xf numFmtId="0" fontId="5" fillId="0" borderId="2" xfId="0" applyFont="1" applyBorder="1"/>
    <xf numFmtId="47" fontId="5" fillId="0" borderId="2" xfId="0" applyNumberFormat="1" applyFont="1" applyBorder="1"/>
    <xf numFmtId="0" fontId="6" fillId="0" borderId="5" xfId="0" applyFont="1" applyBorder="1" applyAlignment="1">
      <alignment horizontal="right"/>
    </xf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0" fontId="5" fillId="0" borderId="3" xfId="0" applyFont="1" applyBorder="1"/>
    <xf numFmtId="1" fontId="5" fillId="0" borderId="2" xfId="0" applyNumberFormat="1" applyFont="1" applyBorder="1"/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5" fillId="2" borderId="5" xfId="0" applyFont="1" applyFill="1" applyBorder="1"/>
    <xf numFmtId="164" fontId="2" fillId="2" borderId="47" xfId="0" applyNumberFormat="1" applyFont="1" applyFill="1" applyBorder="1"/>
    <xf numFmtId="47" fontId="2" fillId="0" borderId="47" xfId="0" applyNumberFormat="1" applyFont="1" applyBorder="1"/>
    <xf numFmtId="47" fontId="2" fillId="0" borderId="50" xfId="0" applyNumberFormat="1" applyFont="1" applyBorder="1"/>
    <xf numFmtId="47" fontId="1" fillId="2" borderId="53" xfId="0" applyNumberFormat="1" applyFont="1" applyFill="1" applyBorder="1"/>
    <xf numFmtId="47" fontId="2" fillId="2" borderId="41" xfId="0" applyNumberFormat="1" applyFont="1" applyFill="1" applyBorder="1"/>
    <xf numFmtId="47" fontId="2" fillId="2" borderId="50" xfId="0" applyNumberFormat="1" applyFont="1" applyFill="1" applyBorder="1"/>
    <xf numFmtId="0" fontId="1" fillId="0" borderId="12" xfId="0" applyFont="1" applyBorder="1"/>
    <xf numFmtId="47" fontId="1" fillId="2" borderId="54" xfId="0" applyNumberFormat="1" applyFont="1" applyFill="1" applyBorder="1"/>
    <xf numFmtId="47" fontId="2" fillId="0" borderId="38" xfId="0" applyNumberFormat="1" applyFont="1" applyBorder="1"/>
    <xf numFmtId="47" fontId="2" fillId="0" borderId="35" xfId="0" applyNumberFormat="1" applyFont="1" applyBorder="1"/>
    <xf numFmtId="47" fontId="2" fillId="2" borderId="38" xfId="0" applyNumberFormat="1" applyFont="1" applyFill="1" applyBorder="1"/>
    <xf numFmtId="47" fontId="2" fillId="2" borderId="35" xfId="0" applyNumberFormat="1" applyFont="1" applyFill="1" applyBorder="1"/>
    <xf numFmtId="0" fontId="1" fillId="0" borderId="5" xfId="0" applyFont="1" applyBorder="1"/>
    <xf numFmtId="47" fontId="1" fillId="0" borderId="35" xfId="0" applyNumberFormat="1" applyFont="1" applyBorder="1"/>
    <xf numFmtId="0" fontId="1" fillId="0" borderId="38" xfId="0" applyFont="1" applyBorder="1"/>
    <xf numFmtId="0" fontId="1" fillId="0" borderId="43" xfId="0" applyFont="1" applyBorder="1"/>
    <xf numFmtId="0" fontId="1" fillId="2" borderId="43" xfId="0" applyFont="1" applyFill="1" applyBorder="1"/>
    <xf numFmtId="47" fontId="1" fillId="0" borderId="44" xfId="0" applyNumberFormat="1" applyFont="1" applyBorder="1"/>
    <xf numFmtId="47" fontId="1" fillId="2" borderId="44" xfId="0" applyNumberFormat="1" applyFont="1" applyFill="1" applyBorder="1"/>
    <xf numFmtId="47" fontId="1" fillId="2" borderId="39" xfId="0" applyNumberFormat="1" applyFont="1" applyFill="1" applyBorder="1"/>
    <xf numFmtId="164" fontId="2" fillId="2" borderId="38" xfId="0" applyNumberFormat="1" applyFont="1" applyFill="1" applyBorder="1"/>
    <xf numFmtId="164" fontId="2" fillId="0" borderId="35" xfId="0" applyNumberFormat="1" applyFont="1" applyBorder="1"/>
    <xf numFmtId="47" fontId="1" fillId="2" borderId="49" xfId="0" applyNumberFormat="1" applyFont="1" applyFill="1" applyBorder="1"/>
    <xf numFmtId="47" fontId="5" fillId="2" borderId="48" xfId="0" applyNumberFormat="1" applyFont="1" applyFill="1" applyBorder="1"/>
    <xf numFmtId="47" fontId="5" fillId="0" borderId="43" xfId="0" applyNumberFormat="1" applyFont="1" applyBorder="1"/>
    <xf numFmtId="47" fontId="5" fillId="2" borderId="43" xfId="0" applyNumberFormat="1" applyFont="1" applyFill="1" applyBorder="1"/>
    <xf numFmtId="47" fontId="5" fillId="5" borderId="43" xfId="0" applyNumberFormat="1" applyFont="1" applyFill="1" applyBorder="1"/>
    <xf numFmtId="47" fontId="5" fillId="0" borderId="44" xfId="0" applyNumberFormat="1" applyFont="1" applyBorder="1"/>
    <xf numFmtId="0" fontId="0" fillId="0" borderId="25" xfId="0" applyFont="1" applyBorder="1"/>
    <xf numFmtId="0" fontId="0" fillId="2" borderId="25" xfId="0" applyFont="1" applyFill="1" applyBorder="1"/>
    <xf numFmtId="1" fontId="2" fillId="2" borderId="26" xfId="0" applyNumberFormat="1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55" xfId="0" applyNumberFormat="1" applyFont="1" applyFill="1" applyBorder="1" applyAlignment="1">
      <alignment horizontal="center"/>
    </xf>
    <xf numFmtId="47" fontId="1" fillId="2" borderId="50" xfId="0" applyNumberFormat="1" applyFont="1" applyFill="1" applyBorder="1"/>
    <xf numFmtId="164" fontId="2" fillId="0" borderId="47" xfId="0" applyNumberFormat="1" applyFont="1" applyFill="1" applyBorder="1"/>
    <xf numFmtId="47" fontId="5" fillId="0" borderId="51" xfId="0" applyNumberFormat="1" applyFont="1" applyBorder="1"/>
    <xf numFmtId="164" fontId="2" fillId="0" borderId="41" xfId="0" applyNumberFormat="1" applyFont="1" applyFill="1" applyBorder="1"/>
    <xf numFmtId="47" fontId="5" fillId="2" borderId="49" xfId="0" applyNumberFormat="1" applyFont="1" applyFill="1" applyBorder="1"/>
    <xf numFmtId="164" fontId="2" fillId="2" borderId="50" xfId="0" applyNumberFormat="1" applyFont="1" applyFill="1" applyBorder="1"/>
    <xf numFmtId="0" fontId="2" fillId="0" borderId="38" xfId="0" applyFont="1" applyBorder="1"/>
    <xf numFmtId="0" fontId="6" fillId="0" borderId="50" xfId="0" applyFont="1" applyBorder="1" applyAlignment="1">
      <alignment horizontal="right"/>
    </xf>
    <xf numFmtId="0" fontId="5" fillId="0" borderId="48" xfId="0" applyFont="1" applyBorder="1"/>
    <xf numFmtId="0" fontId="5" fillId="0" borderId="41" xfId="0" applyFont="1" applyBorder="1"/>
    <xf numFmtId="47" fontId="5" fillId="0" borderId="52" xfId="0" applyNumberFormat="1" applyFont="1" applyBorder="1"/>
    <xf numFmtId="164" fontId="2" fillId="0" borderId="53" xfId="0" applyNumberFormat="1" applyFont="1" applyFill="1" applyBorder="1"/>
    <xf numFmtId="164" fontId="2" fillId="0" borderId="38" xfId="0" applyNumberFormat="1" applyFont="1" applyBorder="1"/>
    <xf numFmtId="47" fontId="5" fillId="0" borderId="12" xfId="0" applyNumberFormat="1" applyFont="1" applyBorder="1"/>
    <xf numFmtId="47" fontId="5" fillId="0" borderId="48" xfId="0" applyNumberFormat="1" applyFont="1" applyBorder="1"/>
    <xf numFmtId="164" fontId="2" fillId="5" borderId="20" xfId="0" applyNumberFormat="1" applyFont="1" applyFill="1" applyBorder="1" applyAlignment="1">
      <alignment horizontal="center"/>
    </xf>
    <xf numFmtId="0" fontId="5" fillId="2" borderId="25" xfId="0" applyFont="1" applyFill="1" applyBorder="1"/>
    <xf numFmtId="0" fontId="1" fillId="6" borderId="25" xfId="0" applyFont="1" applyFill="1" applyBorder="1"/>
    <xf numFmtId="0" fontId="1" fillId="4" borderId="25" xfId="0" applyFont="1" applyFill="1" applyBorder="1"/>
    <xf numFmtId="1" fontId="2" fillId="6" borderId="26" xfId="0" applyNumberFormat="1" applyFont="1" applyFill="1" applyBorder="1" applyAlignment="1">
      <alignment horizontal="center"/>
    </xf>
    <xf numFmtId="1" fontId="2" fillId="4" borderId="26" xfId="0" applyNumberFormat="1" applyFont="1" applyFill="1" applyBorder="1" applyAlignment="1">
      <alignment horizontal="center"/>
    </xf>
    <xf numFmtId="0" fontId="1" fillId="0" borderId="57" xfId="0" applyFont="1" applyBorder="1"/>
    <xf numFmtId="1" fontId="2" fillId="0" borderId="58" xfId="0" applyNumberFormat="1" applyFont="1" applyBorder="1" applyAlignment="1">
      <alignment horizontal="center"/>
    </xf>
    <xf numFmtId="164" fontId="2" fillId="2" borderId="46" xfId="0" applyNumberFormat="1" applyFont="1" applyFill="1" applyBorder="1" applyAlignment="1">
      <alignment horizontal="center"/>
    </xf>
    <xf numFmtId="164" fontId="2" fillId="0" borderId="46" xfId="0" applyNumberFormat="1" applyFont="1" applyFill="1" applyBorder="1" applyAlignment="1">
      <alignment horizontal="center"/>
    </xf>
    <xf numFmtId="164" fontId="2" fillId="0" borderId="56" xfId="0" applyNumberFormat="1" applyFont="1" applyFill="1" applyBorder="1" applyAlignment="1">
      <alignment horizontal="center"/>
    </xf>
    <xf numFmtId="164" fontId="2" fillId="4" borderId="46" xfId="0" applyNumberFormat="1" applyFont="1" applyFill="1" applyBorder="1" applyAlignment="1">
      <alignment horizontal="center"/>
    </xf>
    <xf numFmtId="0" fontId="1" fillId="0" borderId="59" xfId="0" applyFont="1" applyBorder="1"/>
    <xf numFmtId="0" fontId="1" fillId="2" borderId="5" xfId="0" applyFont="1" applyFill="1" applyBorder="1" applyAlignment="1"/>
    <xf numFmtId="1" fontId="2" fillId="0" borderId="5" xfId="0" applyNumberFormat="1" applyFont="1" applyBorder="1" applyAlignment="1">
      <alignment horizontal="center"/>
    </xf>
    <xf numFmtId="1" fontId="2" fillId="5" borderId="5" xfId="0" applyNumberFormat="1" applyFont="1" applyFill="1" applyBorder="1" applyAlignment="1">
      <alignment horizontal="center"/>
    </xf>
    <xf numFmtId="0" fontId="0" fillId="5" borderId="12" xfId="0" applyFont="1" applyFill="1" applyBorder="1"/>
    <xf numFmtId="47" fontId="1" fillId="5" borderId="12" xfId="0" applyNumberFormat="1" applyFont="1" applyFill="1" applyBorder="1"/>
    <xf numFmtId="164" fontId="2" fillId="5" borderId="22" xfId="0" applyNumberFormat="1" applyFont="1" applyFill="1" applyBorder="1"/>
    <xf numFmtId="47" fontId="0" fillId="5" borderId="5" xfId="0" applyNumberFormat="1" applyFont="1" applyFill="1" applyBorder="1"/>
    <xf numFmtId="47" fontId="1" fillId="5" borderId="5" xfId="0" applyNumberFormat="1" applyFont="1" applyFill="1" applyBorder="1"/>
    <xf numFmtId="1" fontId="1" fillId="5" borderId="12" xfId="0" applyNumberFormat="1" applyFont="1" applyFill="1" applyBorder="1"/>
    <xf numFmtId="164" fontId="1" fillId="5" borderId="12" xfId="0" applyNumberFormat="1" applyFont="1" applyFill="1" applyBorder="1"/>
    <xf numFmtId="0" fontId="1" fillId="5" borderId="5" xfId="0" applyFont="1" applyFill="1" applyBorder="1"/>
    <xf numFmtId="0" fontId="0" fillId="5" borderId="15" xfId="0" applyFont="1" applyFill="1" applyBorder="1"/>
    <xf numFmtId="1" fontId="2" fillId="5" borderId="23" xfId="0" applyNumberFormat="1" applyFont="1" applyFill="1" applyBorder="1" applyAlignment="1">
      <alignment horizontal="center"/>
    </xf>
    <xf numFmtId="164" fontId="1" fillId="5" borderId="5" xfId="0" applyNumberFormat="1" applyFont="1" applyFill="1" applyBorder="1"/>
    <xf numFmtId="0" fontId="0" fillId="4" borderId="12" xfId="0" applyFont="1" applyFill="1" applyBorder="1"/>
    <xf numFmtId="47" fontId="5" fillId="4" borderId="12" xfId="0" applyNumberFormat="1" applyFont="1" applyFill="1" applyBorder="1"/>
    <xf numFmtId="164" fontId="2" fillId="4" borderId="22" xfId="0" applyNumberFormat="1" applyFont="1" applyFill="1" applyBorder="1"/>
    <xf numFmtId="164" fontId="1" fillId="4" borderId="12" xfId="0" applyNumberFormat="1" applyFont="1" applyFill="1" applyBorder="1"/>
    <xf numFmtId="164" fontId="2" fillId="4" borderId="5" xfId="0" applyNumberFormat="1" applyFont="1" applyFill="1" applyBorder="1"/>
    <xf numFmtId="47" fontId="5" fillId="4" borderId="43" xfId="0" applyNumberFormat="1" applyFont="1" applyFill="1" applyBorder="1"/>
    <xf numFmtId="0" fontId="0" fillId="4" borderId="15" xfId="0" applyFont="1" applyFill="1" applyBorder="1"/>
    <xf numFmtId="1" fontId="2" fillId="4" borderId="23" xfId="0" applyNumberFormat="1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/>
    </xf>
    <xf numFmtId="1" fontId="2" fillId="7" borderId="5" xfId="0" applyNumberFormat="1" applyFont="1" applyFill="1" applyBorder="1" applyAlignment="1">
      <alignment horizontal="center"/>
    </xf>
    <xf numFmtId="0" fontId="1" fillId="0" borderId="5" xfId="0" applyFont="1" applyFill="1" applyBorder="1"/>
    <xf numFmtId="164" fontId="1" fillId="0" borderId="5" xfId="0" applyNumberFormat="1" applyFont="1" applyFill="1" applyBorder="1"/>
    <xf numFmtId="0" fontId="1" fillId="5" borderId="12" xfId="0" applyFont="1" applyFill="1" applyBorder="1"/>
    <xf numFmtId="47" fontId="1" fillId="5" borderId="7" xfId="0" applyNumberFormat="1" applyFont="1" applyFill="1" applyBorder="1"/>
    <xf numFmtId="0" fontId="1" fillId="0" borderId="13" xfId="0" applyFont="1" applyFill="1" applyBorder="1"/>
    <xf numFmtId="1" fontId="1" fillId="0" borderId="3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64"/>
  <sheetViews>
    <sheetView showGridLines="0" tabSelected="1" zoomScale="136" zoomScaleNormal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0" sqref="E10"/>
    </sheetView>
  </sheetViews>
  <sheetFormatPr baseColWidth="10" defaultColWidth="12.59765625" defaultRowHeight="15" customHeight="1"/>
  <cols>
    <col min="1" max="1" width="21.796875" customWidth="1"/>
    <col min="2" max="2" width="8.796875" customWidth="1"/>
    <col min="3" max="3" width="7.796875" customWidth="1"/>
    <col min="4" max="4" width="9.19921875" customWidth="1"/>
    <col min="5" max="5" width="7.796875" customWidth="1"/>
    <col min="6" max="6" width="9.19921875" customWidth="1"/>
    <col min="7" max="7" width="7.59765625" customWidth="1"/>
    <col min="8" max="8" width="9.19921875" customWidth="1"/>
    <col min="9" max="9" width="7" customWidth="1"/>
    <col min="10" max="10" width="9.3984375" customWidth="1"/>
    <col min="11" max="11" width="7.796875" customWidth="1"/>
    <col min="12" max="12" width="9.3984375" customWidth="1"/>
    <col min="13" max="13" width="8.59765625" customWidth="1"/>
    <col min="14" max="14" width="6.19921875" customWidth="1"/>
    <col min="15" max="15" width="7.796875" customWidth="1"/>
    <col min="16" max="16" width="9.3984375" customWidth="1"/>
    <col min="17" max="17" width="7.796875" customWidth="1"/>
    <col min="18" max="18" width="9.796875" customWidth="1"/>
    <col min="19" max="19" width="8.796875" customWidth="1"/>
    <col min="20" max="20" width="9" customWidth="1"/>
    <col min="21" max="21" width="9.796875" customWidth="1"/>
    <col min="22" max="22" width="10.3984375" customWidth="1"/>
    <col min="23" max="23" width="7.796875" customWidth="1"/>
    <col min="24" max="24" width="10" customWidth="1"/>
    <col min="25" max="25" width="7.796875" customWidth="1"/>
    <col min="26" max="26" width="8.59765625" customWidth="1"/>
    <col min="27" max="27" width="7.796875" customWidth="1"/>
    <col min="28" max="28" width="14.19921875" customWidth="1"/>
    <col min="29" max="29" width="7.796875" customWidth="1"/>
    <col min="30" max="30" width="8.19921875" customWidth="1"/>
    <col min="31" max="31" width="7.796875" customWidth="1"/>
    <col min="32" max="32" width="8.19921875" customWidth="1"/>
    <col min="33" max="33" width="7.796875" customWidth="1"/>
    <col min="34" max="34" width="8.59765625" customWidth="1"/>
    <col min="35" max="35" width="7.796875" customWidth="1"/>
    <col min="36" max="36" width="8.59765625" customWidth="1"/>
    <col min="37" max="37" width="7.796875" customWidth="1"/>
    <col min="38" max="38" width="8.3984375" customWidth="1"/>
    <col min="39" max="39" width="7.796875" customWidth="1"/>
    <col min="40" max="40" width="10.3984375" customWidth="1"/>
    <col min="41" max="41" width="16.19921875" customWidth="1"/>
    <col min="42" max="42" width="8.59765625" customWidth="1"/>
    <col min="43" max="43" width="21.796875" customWidth="1"/>
    <col min="44" max="44" width="9.796875" customWidth="1"/>
    <col min="45" max="45" width="16.19921875" customWidth="1"/>
    <col min="46" max="46" width="8.796875" customWidth="1"/>
    <col min="47" max="47" width="13.19921875" customWidth="1"/>
    <col min="48" max="48" width="8.796875" customWidth="1"/>
    <col min="49" max="49" width="18.3984375" customWidth="1"/>
    <col min="50" max="50" width="10.796875" customWidth="1"/>
    <col min="51" max="51" width="16" customWidth="1"/>
    <col min="52" max="257" width="10.796875" customWidth="1"/>
  </cols>
  <sheetData>
    <row r="1" spans="1:255" ht="12" customHeight="1" thickBot="1">
      <c r="A1" s="139" t="s">
        <v>0</v>
      </c>
      <c r="B1" s="171" t="s">
        <v>1</v>
      </c>
      <c r="C1" s="176"/>
      <c r="D1" s="171" t="s">
        <v>2</v>
      </c>
      <c r="E1" s="176"/>
      <c r="F1" s="171" t="s">
        <v>3</v>
      </c>
      <c r="G1" s="176"/>
      <c r="H1" s="171" t="s">
        <v>4</v>
      </c>
      <c r="I1" s="176"/>
      <c r="J1" s="171" t="s">
        <v>5</v>
      </c>
      <c r="K1" s="176"/>
      <c r="L1" s="170" t="s">
        <v>64</v>
      </c>
      <c r="M1" s="176"/>
      <c r="N1" s="171" t="s">
        <v>7</v>
      </c>
      <c r="O1" s="176"/>
      <c r="P1" s="172" t="s">
        <v>8</v>
      </c>
      <c r="Q1" s="176"/>
      <c r="R1" s="171" t="s">
        <v>9</v>
      </c>
      <c r="S1" s="176"/>
      <c r="T1" s="171" t="s">
        <v>10</v>
      </c>
      <c r="U1" s="176"/>
      <c r="V1" s="177" t="s">
        <v>11</v>
      </c>
      <c r="W1" s="176"/>
      <c r="X1" s="172" t="s">
        <v>12</v>
      </c>
      <c r="Y1" s="176"/>
      <c r="Z1" s="170" t="s">
        <v>13</v>
      </c>
      <c r="AA1" s="176"/>
      <c r="AB1" s="172" t="s">
        <v>14</v>
      </c>
      <c r="AC1" s="176"/>
      <c r="AD1" s="172" t="s">
        <v>15</v>
      </c>
      <c r="AE1" s="176"/>
      <c r="AF1" s="172" t="s">
        <v>16</v>
      </c>
      <c r="AG1" s="176"/>
      <c r="AH1" s="171" t="s">
        <v>17</v>
      </c>
      <c r="AI1" s="176"/>
      <c r="AJ1" s="172" t="s">
        <v>65</v>
      </c>
      <c r="AK1" s="176"/>
      <c r="AL1" s="174" t="s">
        <v>66</v>
      </c>
      <c r="AM1" s="174"/>
      <c r="AN1" s="178"/>
      <c r="AO1" s="179"/>
      <c r="AP1" s="179"/>
      <c r="AQ1" s="179"/>
      <c r="AR1" s="180"/>
      <c r="AS1" s="179"/>
      <c r="AT1" s="181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/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/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/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/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/>
      <c r="ER1" s="182"/>
      <c r="ES1" s="182"/>
      <c r="ET1" s="182"/>
      <c r="EU1" s="182"/>
      <c r="EV1" s="182"/>
      <c r="EW1" s="182"/>
    </row>
    <row r="2" spans="1:255" ht="12" customHeight="1" thickTop="1" thickBot="1">
      <c r="A2" s="11" t="s">
        <v>18</v>
      </c>
      <c r="B2" s="12" t="s">
        <v>19</v>
      </c>
      <c r="C2" s="13" t="s">
        <v>20</v>
      </c>
      <c r="D2" s="12" t="s">
        <v>19</v>
      </c>
      <c r="E2" s="13" t="s">
        <v>20</v>
      </c>
      <c r="F2" s="12" t="s">
        <v>19</v>
      </c>
      <c r="G2" s="13" t="s">
        <v>20</v>
      </c>
      <c r="H2" s="12" t="s">
        <v>19</v>
      </c>
      <c r="I2" s="13" t="s">
        <v>20</v>
      </c>
      <c r="J2" s="12" t="s">
        <v>19</v>
      </c>
      <c r="K2" s="13" t="s">
        <v>20</v>
      </c>
      <c r="L2" s="14" t="s">
        <v>19</v>
      </c>
      <c r="M2" s="13" t="s">
        <v>20</v>
      </c>
      <c r="N2" s="12" t="s">
        <v>21</v>
      </c>
      <c r="O2" s="13" t="s">
        <v>20</v>
      </c>
      <c r="P2" s="15" t="s">
        <v>19</v>
      </c>
      <c r="Q2" s="13" t="s">
        <v>20</v>
      </c>
      <c r="R2" s="12" t="s">
        <v>19</v>
      </c>
      <c r="S2" s="13" t="s">
        <v>20</v>
      </c>
      <c r="T2" s="12" t="s">
        <v>19</v>
      </c>
      <c r="U2" s="13" t="s">
        <v>20</v>
      </c>
      <c r="V2" s="16" t="s">
        <v>22</v>
      </c>
      <c r="W2" s="13" t="s">
        <v>20</v>
      </c>
      <c r="X2" s="15" t="s">
        <v>19</v>
      </c>
      <c r="Y2" s="13" t="s">
        <v>20</v>
      </c>
      <c r="Z2" s="14" t="s">
        <v>19</v>
      </c>
      <c r="AA2" s="13" t="s">
        <v>20</v>
      </c>
      <c r="AB2" s="15" t="s">
        <v>19</v>
      </c>
      <c r="AC2" s="13" t="s">
        <v>20</v>
      </c>
      <c r="AD2" s="15" t="s">
        <v>19</v>
      </c>
      <c r="AE2" s="13" t="s">
        <v>20</v>
      </c>
      <c r="AF2" s="15" t="s">
        <v>19</v>
      </c>
      <c r="AG2" s="13" t="s">
        <v>20</v>
      </c>
      <c r="AH2" s="12" t="s">
        <v>19</v>
      </c>
      <c r="AI2" s="13" t="s">
        <v>20</v>
      </c>
      <c r="AJ2" s="15" t="s">
        <v>19</v>
      </c>
      <c r="AK2" s="13" t="s">
        <v>20</v>
      </c>
      <c r="AL2" s="175" t="s">
        <v>19</v>
      </c>
      <c r="AM2" s="173" t="s">
        <v>20</v>
      </c>
      <c r="AN2" s="7"/>
      <c r="AO2" s="17" t="s">
        <v>23</v>
      </c>
      <c r="AP2" s="18" t="s">
        <v>24</v>
      </c>
      <c r="AQ2" s="19" t="s">
        <v>25</v>
      </c>
      <c r="AR2" s="20" t="s">
        <v>26</v>
      </c>
      <c r="AS2" s="21" t="s">
        <v>27</v>
      </c>
      <c r="AT2" s="22" t="s">
        <v>20</v>
      </c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</row>
    <row r="3" spans="1:255" ht="12" customHeight="1" thickTop="1">
      <c r="A3" s="23" t="s">
        <v>29</v>
      </c>
      <c r="B3" s="24">
        <v>2.1531250000000001E-3</v>
      </c>
      <c r="C3" s="25">
        <f t="shared" ref="C3:C18" si="0">IF(B3="DNF","DNF",IF(B3&gt;0,B$29/B3*100,""))</f>
        <v>100</v>
      </c>
      <c r="D3" s="24">
        <v>1.7842592592592591E-3</v>
      </c>
      <c r="E3" s="25">
        <f t="shared" ref="E3:E18" si="1">IF(D3="DNF","DNF",IF(D3&gt;0,D$29/D3*100,""))</f>
        <v>98.949143746756647</v>
      </c>
      <c r="F3" s="24">
        <v>2.0732638888888888E-3</v>
      </c>
      <c r="G3" s="25">
        <f t="shared" ref="G3:G18" si="2">IF(F3="DNF","DNF",IF(F3&gt;0,F$29/F3*100,""))</f>
        <v>95.651203036900583</v>
      </c>
      <c r="H3" s="26">
        <v>2.5746527777777777E-3</v>
      </c>
      <c r="I3" s="25">
        <f t="shared" ref="I3:I18" si="3">IF(H3="DNF","DNF",IF(H3&gt;0,H$29/H3*100,""))</f>
        <v>64.926949876376725</v>
      </c>
      <c r="J3" s="26">
        <v>8.8761574074074079E-4</v>
      </c>
      <c r="K3" s="25">
        <f t="shared" ref="K3:K17" si="4">IF(J3="DNF","DNF",IF(J3&gt;0,J$29/J3*100,""))</f>
        <v>91.726431086191155</v>
      </c>
      <c r="L3" s="24">
        <v>6.5149305555555559E-3</v>
      </c>
      <c r="M3" s="25">
        <f t="shared" ref="M3:M18" si="5">IF(L3="DNF","DNF",IF(L3&gt;0,L$29/L3*100,""))</f>
        <v>75.821208406615852</v>
      </c>
      <c r="N3" s="27">
        <v>6</v>
      </c>
      <c r="O3" s="25">
        <f t="shared" ref="O3:O18" si="6">IF(N3="DNF","DNF",IF(N3&lt;&gt;"",N3/N$29*100,""))</f>
        <v>22.222222222222221</v>
      </c>
      <c r="P3" s="26">
        <v>2.1030092592592593E-4</v>
      </c>
      <c r="Q3" s="25">
        <f t="shared" ref="Q3:Q17" si="7">IF(P3="DNF","DNF",IF(P3&gt;0,P$29/P3*100,""))</f>
        <v>83.43423225096312</v>
      </c>
      <c r="R3" s="28">
        <f>Birling!B3</f>
        <v>54.31</v>
      </c>
      <c r="S3" s="25">
        <f>Birling!C3</f>
        <v>16.752650857914016</v>
      </c>
      <c r="T3" s="26">
        <v>1.0907407407407409E-3</v>
      </c>
      <c r="U3" s="25">
        <f t="shared" ref="U3:U18" si="8">IF(T3="DNF","DNF",IF(T3&gt;0,T$29/T3*100,""))</f>
        <v>76.549235993208825</v>
      </c>
      <c r="V3" s="27">
        <v>0</v>
      </c>
      <c r="W3" s="25">
        <f t="shared" ref="W3:W18" si="9">IF(V3="DNF","DNF",IF(V3&lt;&gt;"",V3/V$29*100,""))</f>
        <v>0</v>
      </c>
      <c r="X3" s="26">
        <v>1.5784722222222224E-3</v>
      </c>
      <c r="Y3" s="25">
        <f t="shared" ref="Y3:Y18" si="10">IF(X3="DNF","DNF",IF(X3&gt;0,X$29/X3*100,""))</f>
        <v>27.357383780612992</v>
      </c>
      <c r="Z3" s="24">
        <v>5.5451388888888889E-4</v>
      </c>
      <c r="AA3" s="25">
        <f t="shared" ref="AA3:AA17" si="11">IF(Z3="DNF","DNF",IF(Z3&gt;0,Z$29/Z3*100,""))</f>
        <v>92.391984971822154</v>
      </c>
      <c r="AB3" s="24">
        <v>5.6649305555555554E-4</v>
      </c>
      <c r="AC3" s="25">
        <f t="shared" ref="AC3:AC18" si="12">IF(AB3="DNF","DNF",IF(AB3&gt;0,AB$29/AB3*100,""))</f>
        <v>76.391868423740945</v>
      </c>
      <c r="AD3" s="26">
        <v>7.1087962962962977E-4</v>
      </c>
      <c r="AE3" s="25">
        <f t="shared" ref="AE3:AE18" si="13">IF(AD3="DNF","DNF",IF(AD3&gt;0,AD$29/AD3*100,""))</f>
        <v>89.791598827743385</v>
      </c>
      <c r="AF3" s="24">
        <v>1.2633101851851852E-3</v>
      </c>
      <c r="AG3" s="25">
        <f>IF(AF3="DNF","DNF",IF(AF3&gt;0,AF$29/AF3*100,""))</f>
        <v>53.055428309665587</v>
      </c>
      <c r="AH3" s="24">
        <v>2.0175925925925925E-3</v>
      </c>
      <c r="AI3" s="25">
        <f t="shared" ref="AI3:AI15" si="14">IF(AH3="DNF","DNF",IF(AH3&gt;0,AH$29/AH3*100,""))</f>
        <v>87.058283616337761</v>
      </c>
      <c r="AJ3" s="24">
        <v>9.699074074074075E-5</v>
      </c>
      <c r="AK3" s="203">
        <f t="shared" ref="AK3:AK18" si="15">IF(AJ3="DNF","DNF",IF(AJ3&gt;0,AJ$29/AJ3*100,""))</f>
        <v>72.792362768496417</v>
      </c>
      <c r="AL3" s="206">
        <v>4.1689814814814817E-4</v>
      </c>
      <c r="AM3" s="25">
        <f>IF(AL3="DNF","DNF",IF(AL3&gt;0,AL$29/AL3*100,""))</f>
        <v>86.118822876179891</v>
      </c>
      <c r="AN3" s="10"/>
      <c r="AO3" s="29" t="str">
        <f>$A3</f>
        <v>FLCC</v>
      </c>
      <c r="AP3" s="30">
        <f>SUM(C3,E3,G3,I3,K3,AI3,O3,Q3,U3,Y3,S3,,W3,AC3,AG3,AK3,AA3,AE3,M3, AM3)</f>
        <v>1310.991011051748</v>
      </c>
      <c r="AQ3" s="31">
        <f>RANK(AP3,$AP$3:$AP$24,0)</f>
        <v>5</v>
      </c>
      <c r="AR3" s="32">
        <v>1</v>
      </c>
      <c r="AS3" s="10" t="str">
        <f>INDEX($AO$3:AO22,MATCH(AR3,$AQ$3:$AQ$22,0))</f>
        <v>Paul Smiths</v>
      </c>
      <c r="AT3" s="33">
        <f>INDEX($AP$3:$AP$22,MATCH(AS3,$AO$3:$AO$22,0))</f>
        <v>1715.3172205535543</v>
      </c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</row>
    <row r="4" spans="1:255" ht="12" customHeight="1">
      <c r="A4" s="34" t="s">
        <v>28</v>
      </c>
      <c r="B4" s="35">
        <v>2.2112268518518518E-3</v>
      </c>
      <c r="C4" s="36">
        <f t="shared" si="0"/>
        <v>97.372415598011003</v>
      </c>
      <c r="D4" s="35">
        <v>1.9854166666666666E-3</v>
      </c>
      <c r="E4" s="36">
        <f t="shared" si="1"/>
        <v>88.923866153666793</v>
      </c>
      <c r="F4" s="35">
        <v>2.2127314814814813E-3</v>
      </c>
      <c r="G4" s="36">
        <f t="shared" si="2"/>
        <v>89.622345433622769</v>
      </c>
      <c r="H4" s="37">
        <v>2.0315972222222224E-3</v>
      </c>
      <c r="I4" s="36">
        <f t="shared" si="3"/>
        <v>82.282230957671061</v>
      </c>
      <c r="J4" s="37">
        <v>8.1417824074074075E-4</v>
      </c>
      <c r="K4" s="36">
        <f t="shared" si="4"/>
        <v>100</v>
      </c>
      <c r="L4" s="38">
        <v>5.3094907407407405E-3</v>
      </c>
      <c r="M4" s="36">
        <f t="shared" si="5"/>
        <v>93.035270523608133</v>
      </c>
      <c r="N4" s="39">
        <v>24</v>
      </c>
      <c r="O4" s="36">
        <f t="shared" si="6"/>
        <v>88.888888888888886</v>
      </c>
      <c r="P4" s="37">
        <v>2.740740740740741E-4</v>
      </c>
      <c r="Q4" s="36">
        <f t="shared" si="7"/>
        <v>64.02027027027026</v>
      </c>
      <c r="R4" s="40">
        <f>Birling!B4</f>
        <v>42.6</v>
      </c>
      <c r="S4" s="36">
        <f>Birling!C4</f>
        <v>13.140543666859458</v>
      </c>
      <c r="T4" s="37">
        <v>1.1349537037037038E-3</v>
      </c>
      <c r="U4" s="36">
        <f t="shared" si="8"/>
        <v>73.567203752804403</v>
      </c>
      <c r="V4" s="39">
        <v>24</v>
      </c>
      <c r="W4" s="36">
        <f t="shared" si="9"/>
        <v>100</v>
      </c>
      <c r="X4" s="37">
        <v>5.2916666666666661E-4</v>
      </c>
      <c r="Y4" s="36">
        <f t="shared" si="10"/>
        <v>81.605424321959774</v>
      </c>
      <c r="Z4" s="38">
        <v>6.2077546296296284E-4</v>
      </c>
      <c r="AA4" s="36">
        <f t="shared" si="11"/>
        <v>82.530064323669265</v>
      </c>
      <c r="AB4" s="35">
        <v>4.3275462962962967E-4</v>
      </c>
      <c r="AC4" s="36">
        <f t="shared" si="12"/>
        <v>100</v>
      </c>
      <c r="AD4" s="37">
        <v>6.5567129629629623E-4</v>
      </c>
      <c r="AE4" s="36">
        <f t="shared" si="13"/>
        <v>97.352162400706106</v>
      </c>
      <c r="AF4" s="35">
        <v>8.0555555555555545E-4</v>
      </c>
      <c r="AG4" s="36">
        <f t="shared" ref="AG4:AG18" si="16">IF(AF4="DNF","DNF",IF(AF4&gt;0,AF$29/AF4*100,""))</f>
        <v>83.204022988505756</v>
      </c>
      <c r="AH4" s="35">
        <v>2.212962962962963E-3</v>
      </c>
      <c r="AI4" s="36">
        <f t="shared" si="14"/>
        <v>79.372384937238479</v>
      </c>
      <c r="AJ4" s="38">
        <v>1.4050925925925925E-4</v>
      </c>
      <c r="AK4" s="160">
        <f t="shared" si="15"/>
        <v>50.247116968698514</v>
      </c>
      <c r="AL4" s="207">
        <v>4.2025462962962963E-4</v>
      </c>
      <c r="AM4" s="36">
        <f t="shared" ref="AM4:AM18" si="17">IF(AL4="DNF","DNF",IF(AL4&gt;0,AL$29/AL4*100,""))</f>
        <v>85.431010740842737</v>
      </c>
      <c r="AN4" s="7"/>
      <c r="AO4" s="29" t="str">
        <f t="shared" ref="AO4:AO15" si="18">$A4</f>
        <v>Alfred State</v>
      </c>
      <c r="AP4" s="30">
        <f t="shared" ref="AP4:AP15" si="19">SUM(C4,E4,G4,I4,K4,AI4,O4,Q4,U4,Y4,S4,,W4,AC4,AG4,AK4,AA4,AE4,M4, AM4)</f>
        <v>1550.5952219270234</v>
      </c>
      <c r="AQ4" s="43">
        <f>RANK(AP4,$AP$3:$AP$24,0)</f>
        <v>3</v>
      </c>
      <c r="AR4" s="44">
        <v>2</v>
      </c>
      <c r="AS4" s="7" t="str">
        <f>INDEX($AO$3:AO23,MATCH(AR4,$AQ$3:$AQ$22,0))</f>
        <v>ESF</v>
      </c>
      <c r="AT4" s="9">
        <f>INDEX($AP$3:$AP$22,MATCH(AS4,$AO$3:$AO$22,0))</f>
        <v>1653.8794210664282</v>
      </c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</row>
    <row r="5" spans="1:255" s="150" customFormat="1" ht="12" customHeight="1">
      <c r="A5" s="259" t="s">
        <v>32</v>
      </c>
      <c r="B5" s="260">
        <v>2.2825231481481485E-3</v>
      </c>
      <c r="C5" s="261">
        <f t="shared" si="0"/>
        <v>94.330916282135775</v>
      </c>
      <c r="D5" s="142">
        <v>1.7655092592592594E-3</v>
      </c>
      <c r="E5" s="261">
        <f t="shared" si="1"/>
        <v>100</v>
      </c>
      <c r="F5" s="142">
        <v>1.9831018518518518E-3</v>
      </c>
      <c r="G5" s="261">
        <f t="shared" si="2"/>
        <v>100</v>
      </c>
      <c r="H5" s="144">
        <v>1.9858796296296295E-3</v>
      </c>
      <c r="I5" s="261">
        <f t="shared" si="3"/>
        <v>84.176477444923663</v>
      </c>
      <c r="J5" s="144">
        <v>8.241319444444445E-4</v>
      </c>
      <c r="K5" s="261">
        <f t="shared" si="4"/>
        <v>98.792219647496665</v>
      </c>
      <c r="L5" s="145">
        <v>5.5255208333333328E-3</v>
      </c>
      <c r="M5" s="261">
        <f t="shared" si="5"/>
        <v>89.397890679821117</v>
      </c>
      <c r="N5" s="146">
        <v>27</v>
      </c>
      <c r="O5" s="261">
        <f t="shared" si="6"/>
        <v>100</v>
      </c>
      <c r="P5" s="144">
        <v>2.1354166666666668E-4</v>
      </c>
      <c r="Q5" s="261">
        <f t="shared" si="7"/>
        <v>82.168021680216796</v>
      </c>
      <c r="R5" s="262">
        <f>Birling!B5</f>
        <v>113.57</v>
      </c>
      <c r="S5" s="261">
        <f>Birling!C5</f>
        <v>90</v>
      </c>
      <c r="T5" s="144">
        <v>1.2144675925925925E-3</v>
      </c>
      <c r="U5" s="261">
        <f t="shared" si="8"/>
        <v>68.750595635185363</v>
      </c>
      <c r="V5" s="146">
        <v>12</v>
      </c>
      <c r="W5" s="261">
        <f t="shared" si="9"/>
        <v>50</v>
      </c>
      <c r="X5" s="144">
        <v>4.3182870370370375E-4</v>
      </c>
      <c r="Y5" s="261">
        <f t="shared" si="10"/>
        <v>100</v>
      </c>
      <c r="Z5" s="145">
        <v>6.2702546296296291E-4</v>
      </c>
      <c r="AA5" s="261">
        <f t="shared" si="11"/>
        <v>81.707429626211365</v>
      </c>
      <c r="AB5" s="142">
        <v>4.6875000000000004E-4</v>
      </c>
      <c r="AC5" s="261">
        <f>IF(AB5="DNF","DNF",IF(AB5&gt;0,AB$29/AB5*100,""))</f>
        <v>92.320987654320987</v>
      </c>
      <c r="AD5" s="144">
        <v>7.2349537037037044E-4</v>
      </c>
      <c r="AE5" s="261">
        <f t="shared" si="13"/>
        <v>88.22588385858262</v>
      </c>
      <c r="AF5" s="142">
        <v>7.6979166666666678E-4</v>
      </c>
      <c r="AG5" s="261">
        <f t="shared" si="16"/>
        <v>87.069613591941035</v>
      </c>
      <c r="AH5" s="144">
        <v>2.5232638888888887E-3</v>
      </c>
      <c r="AI5" s="261">
        <f t="shared" si="14"/>
        <v>69.611485711664599</v>
      </c>
      <c r="AJ5" s="145">
        <v>8.1828703703703696E-5</v>
      </c>
      <c r="AK5" s="263">
        <f t="shared" si="15"/>
        <v>86.280056577086285</v>
      </c>
      <c r="AL5" s="264">
        <v>3.9432870370370365E-4</v>
      </c>
      <c r="AM5" s="261">
        <f t="shared" si="17"/>
        <v>91.04784267684181</v>
      </c>
      <c r="AN5" s="148"/>
      <c r="AO5" s="265" t="str">
        <f t="shared" si="18"/>
        <v>ESF</v>
      </c>
      <c r="AP5" s="30">
        <f t="shared" si="19"/>
        <v>1653.8794210664282</v>
      </c>
      <c r="AQ5" s="266">
        <f>RANK(AP5,$AP$3:$AP$24,0)</f>
        <v>2</v>
      </c>
      <c r="AR5" s="267">
        <v>3</v>
      </c>
      <c r="AS5" s="148" t="str">
        <f>INDEX($AO$3:AO24,MATCH(AR5,$AQ$3:$AQ$22,0))</f>
        <v>Alfred State</v>
      </c>
      <c r="AT5" s="149">
        <f>INDEX($AP$3:$AP$22,MATCH(AS5,$AO$3:$AO$22,0))</f>
        <v>1550.5952219270234</v>
      </c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</row>
    <row r="6" spans="1:255" ht="12" customHeight="1">
      <c r="A6" s="34" t="s">
        <v>30</v>
      </c>
      <c r="B6" s="35">
        <v>2.4517361111111111E-3</v>
      </c>
      <c r="C6" s="36">
        <f t="shared" si="0"/>
        <v>87.82042203653873</v>
      </c>
      <c r="D6" s="35">
        <v>2.9268518518518524E-3</v>
      </c>
      <c r="E6" s="36">
        <f t="shared" si="1"/>
        <v>60.321100917431195</v>
      </c>
      <c r="F6" s="35">
        <v>2.2694444444444442E-3</v>
      </c>
      <c r="G6" s="36">
        <f t="shared" si="2"/>
        <v>87.382700938392503</v>
      </c>
      <c r="H6" s="37">
        <v>3.1773148148148147E-3</v>
      </c>
      <c r="I6" s="36">
        <f t="shared" si="3"/>
        <v>52.611831560542043</v>
      </c>
      <c r="J6" s="37">
        <v>9.8125000000000013E-4</v>
      </c>
      <c r="K6" s="36">
        <f t="shared" si="4"/>
        <v>82.973578674215602</v>
      </c>
      <c r="L6" s="38">
        <v>6.5420717592592596E-3</v>
      </c>
      <c r="M6" s="36">
        <f t="shared" si="5"/>
        <v>75.50664767751465</v>
      </c>
      <c r="N6" s="39">
        <v>22</v>
      </c>
      <c r="O6" s="36">
        <f t="shared" si="6"/>
        <v>81.481481481481481</v>
      </c>
      <c r="P6" s="37">
        <v>5.1157407407407412E-4</v>
      </c>
      <c r="Q6" s="36">
        <f t="shared" si="7"/>
        <v>34.298642533936643</v>
      </c>
      <c r="R6" s="40">
        <f>Birling!B6</f>
        <v>3</v>
      </c>
      <c r="S6" s="36">
        <f>Birling!C6</f>
        <v>0.92539039907460952</v>
      </c>
      <c r="T6" s="37">
        <v>1.9251157407407409E-3</v>
      </c>
      <c r="U6" s="36">
        <f t="shared" si="8"/>
        <v>43.371610653520101</v>
      </c>
      <c r="V6" s="39">
        <v>5</v>
      </c>
      <c r="W6" s="36">
        <f t="shared" si="9"/>
        <v>20.833333333333336</v>
      </c>
      <c r="X6" s="37">
        <v>8.4305555555555555E-4</v>
      </c>
      <c r="Y6" s="36">
        <f t="shared" si="10"/>
        <v>51.221856123009346</v>
      </c>
      <c r="Z6" s="38">
        <v>7.9571759259259255E-4</v>
      </c>
      <c r="AA6" s="36">
        <f t="shared" si="11"/>
        <v>64.38545454545455</v>
      </c>
      <c r="AB6" s="35">
        <v>8.108796296296296E-4</v>
      </c>
      <c r="AC6" s="36">
        <f>IF(AB6="DNF","DNF",IF(AB6&gt;0,AB$29/AB6*100,""))</f>
        <v>53.368541250356841</v>
      </c>
      <c r="AD6" s="37">
        <v>1.1451388888888889E-3</v>
      </c>
      <c r="AE6" s="36">
        <f t="shared" si="13"/>
        <v>55.740853042247828</v>
      </c>
      <c r="AF6" s="35">
        <v>1.2904513888888889E-3</v>
      </c>
      <c r="AG6" s="36">
        <f t="shared" si="16"/>
        <v>51.939548858693207</v>
      </c>
      <c r="AH6" s="35">
        <v>2.0053240740740739E-3</v>
      </c>
      <c r="AI6" s="36">
        <f t="shared" si="14"/>
        <v>87.590903843933958</v>
      </c>
      <c r="AJ6" s="38">
        <v>1.1157407407407409E-4</v>
      </c>
      <c r="AK6" s="160">
        <f t="shared" si="15"/>
        <v>63.278008298755175</v>
      </c>
      <c r="AL6" s="207">
        <v>7.6863425925925927E-4</v>
      </c>
      <c r="AM6" s="36">
        <f t="shared" si="17"/>
        <v>46.709832856497513</v>
      </c>
      <c r="AN6" s="7"/>
      <c r="AO6" s="29" t="str">
        <f t="shared" si="18"/>
        <v>Morrisville</v>
      </c>
      <c r="AP6" s="30">
        <f t="shared" si="19"/>
        <v>1101.7617390249295</v>
      </c>
      <c r="AQ6" s="43">
        <f>RANK(AP6,$AP$3:$AP$24,0)</f>
        <v>11</v>
      </c>
      <c r="AR6" s="44">
        <v>4</v>
      </c>
      <c r="AS6" s="7" t="str">
        <f>INDEX($AO$3:AO25,MATCH(AR6,$AQ$3:$AQ$22,0))</f>
        <v>UNH</v>
      </c>
      <c r="AT6" s="9">
        <f>INDEX($AP$3:$AP$22,MATCH(AS6,$AO$3:$AO$22,0))</f>
        <v>1313.669334090064</v>
      </c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</row>
    <row r="7" spans="1:255" ht="12" customHeight="1">
      <c r="A7" s="23" t="s">
        <v>52</v>
      </c>
      <c r="B7" s="45">
        <v>2.4553240740740742E-3</v>
      </c>
      <c r="C7" s="46">
        <f t="shared" si="0"/>
        <v>87.692090129159993</v>
      </c>
      <c r="D7" s="45">
        <v>2.3527777777777779E-3</v>
      </c>
      <c r="E7" s="46">
        <f t="shared" si="1"/>
        <v>75.039354584809132</v>
      </c>
      <c r="F7" s="45">
        <v>2.8517361111111109E-3</v>
      </c>
      <c r="G7" s="46">
        <f t="shared" si="2"/>
        <v>69.540159909087222</v>
      </c>
      <c r="H7" s="26">
        <v>2.9519675925925928E-3</v>
      </c>
      <c r="I7" s="46">
        <f t="shared" si="3"/>
        <v>56.628112134875522</v>
      </c>
      <c r="J7" s="26">
        <v>1.0244791666666666E-3</v>
      </c>
      <c r="K7" s="46">
        <f t="shared" si="4"/>
        <v>79.47240580692538</v>
      </c>
      <c r="L7" s="47">
        <v>5.4344328703703699E-3</v>
      </c>
      <c r="M7" s="46">
        <f t="shared" si="5"/>
        <v>90.896312308986552</v>
      </c>
      <c r="N7" s="48">
        <v>27</v>
      </c>
      <c r="O7" s="46">
        <f t="shared" si="6"/>
        <v>100</v>
      </c>
      <c r="P7" s="26">
        <v>2.0277777777777777E-4</v>
      </c>
      <c r="Q7" s="46">
        <f t="shared" si="7"/>
        <v>86.529680365296798</v>
      </c>
      <c r="R7" s="49">
        <f>Birling!B7</f>
        <v>137.41</v>
      </c>
      <c r="S7" s="46">
        <f>Birling!C7</f>
        <v>85</v>
      </c>
      <c r="T7" s="26">
        <v>1.8555555555555556E-3</v>
      </c>
      <c r="U7" s="46">
        <f t="shared" si="8"/>
        <v>44.997504990019955</v>
      </c>
      <c r="V7" s="48">
        <v>11</v>
      </c>
      <c r="W7" s="46">
        <f t="shared" si="9"/>
        <v>45.833333333333329</v>
      </c>
      <c r="X7" s="26">
        <v>8.7372685185185177E-4</v>
      </c>
      <c r="Y7" s="46">
        <f t="shared" si="10"/>
        <v>49.423764737051272</v>
      </c>
      <c r="Z7" s="47">
        <v>7.7905092592592577E-4</v>
      </c>
      <c r="AA7" s="46">
        <f t="shared" si="11"/>
        <v>65.76288812954985</v>
      </c>
      <c r="AB7" s="45">
        <v>5.4641203703703709E-4</v>
      </c>
      <c r="AC7" s="46">
        <f t="shared" si="12"/>
        <v>79.199322177504754</v>
      </c>
      <c r="AD7" s="26">
        <v>8.1307870370370377E-4</v>
      </c>
      <c r="AE7" s="46">
        <f t="shared" si="13"/>
        <v>78.505338078291814</v>
      </c>
      <c r="AF7" s="45">
        <v>1.3358796296296296E-3</v>
      </c>
      <c r="AG7" s="46">
        <f t="shared" si="16"/>
        <v>50.173280194073818</v>
      </c>
      <c r="AH7" s="26">
        <v>2.7898148148148148E-3</v>
      </c>
      <c r="AI7" s="46">
        <f t="shared" si="14"/>
        <v>62.96050448058412</v>
      </c>
      <c r="AJ7" s="47">
        <v>1.8807870370370368E-4</v>
      </c>
      <c r="AK7" s="159">
        <f t="shared" si="15"/>
        <v>37.53846153846154</v>
      </c>
      <c r="AL7" s="208">
        <v>5.2430555555555553E-4</v>
      </c>
      <c r="AM7" s="46">
        <f t="shared" si="17"/>
        <v>68.476821192052981</v>
      </c>
      <c r="AN7" s="10"/>
      <c r="AO7" s="29" t="str">
        <f t="shared" si="18"/>
        <v>UNH</v>
      </c>
      <c r="AP7" s="30">
        <f t="shared" si="19"/>
        <v>1313.669334090064</v>
      </c>
      <c r="AQ7" s="50">
        <f>RANK(AP7,$AP$3:$AP$24,0)</f>
        <v>4</v>
      </c>
      <c r="AR7" s="32">
        <v>5</v>
      </c>
      <c r="AS7" s="10" t="str">
        <f>INDEX($AO$3:AO26,MATCH(AR7,$AQ$3:$AQ$22,0))</f>
        <v>FLCC</v>
      </c>
      <c r="AT7" s="33">
        <f>INDEX($AP$3:$AP$22,MATCH(AS7,$AO$3:$AO$22,0))</f>
        <v>1310.991011051748</v>
      </c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</row>
    <row r="8" spans="1:255" ht="12" customHeight="1">
      <c r="A8" s="34" t="s">
        <v>33</v>
      </c>
      <c r="B8" s="35">
        <v>2.5434027777777777E-3</v>
      </c>
      <c r="C8" s="36">
        <f t="shared" si="0"/>
        <v>84.655290102389074</v>
      </c>
      <c r="D8" s="35">
        <v>3.1752314814814816E-3</v>
      </c>
      <c r="E8" s="36">
        <f t="shared" si="1"/>
        <v>55.602536997885842</v>
      </c>
      <c r="F8" s="35">
        <v>2.6394675925925926E-3</v>
      </c>
      <c r="G8" s="36">
        <f t="shared" si="2"/>
        <v>75.132646349484759</v>
      </c>
      <c r="H8" s="37">
        <v>1.9413194444444445E-3</v>
      </c>
      <c r="I8" s="36">
        <f t="shared" si="3"/>
        <v>86.108626959995235</v>
      </c>
      <c r="J8" s="37">
        <v>8.9409722222222234E-4</v>
      </c>
      <c r="K8" s="36">
        <f t="shared" si="4"/>
        <v>91.061488673139152</v>
      </c>
      <c r="L8" s="38">
        <v>1.05703125E-2</v>
      </c>
      <c r="M8" s="36">
        <f t="shared" si="5"/>
        <v>46.731816813117618</v>
      </c>
      <c r="N8" s="39">
        <v>10</v>
      </c>
      <c r="O8" s="36">
        <f t="shared" si="6"/>
        <v>37.037037037037038</v>
      </c>
      <c r="P8" s="37">
        <v>2.3194444444444442E-4</v>
      </c>
      <c r="Q8" s="36">
        <f t="shared" si="7"/>
        <v>75.648702594810374</v>
      </c>
      <c r="R8" s="40">
        <f>Birling!B8</f>
        <v>18.28</v>
      </c>
      <c r="S8" s="36">
        <f>Birling!C8</f>
        <v>5.6387121650279548</v>
      </c>
      <c r="T8" s="37">
        <v>1.7201388888888889E-3</v>
      </c>
      <c r="U8" s="36">
        <f t="shared" si="8"/>
        <v>48.539900417171303</v>
      </c>
      <c r="V8" s="39">
        <v>17</v>
      </c>
      <c r="W8" s="36">
        <f t="shared" si="9"/>
        <v>70.833333333333343</v>
      </c>
      <c r="X8" s="37">
        <v>1.5082175925925925E-3</v>
      </c>
      <c r="Y8" s="36">
        <f t="shared" si="10"/>
        <v>28.631724349627817</v>
      </c>
      <c r="Z8" s="38">
        <v>7.5416666666666677E-4</v>
      </c>
      <c r="AA8" s="36">
        <f t="shared" si="11"/>
        <v>67.93278084714548</v>
      </c>
      <c r="AB8" s="35">
        <v>4.6597222222222217E-4</v>
      </c>
      <c r="AC8" s="36">
        <f t="shared" si="12"/>
        <v>92.87133631395929</v>
      </c>
      <c r="AD8" s="37">
        <v>7.3796296296296294E-4</v>
      </c>
      <c r="AE8" s="36">
        <f t="shared" si="13"/>
        <v>86.496235884567128</v>
      </c>
      <c r="AF8" s="35">
        <v>8.6354166666666665E-4</v>
      </c>
      <c r="AG8" s="36">
        <f t="shared" si="16"/>
        <v>77.6169414287629</v>
      </c>
      <c r="AH8" s="37">
        <v>2.6027777777777781E-3</v>
      </c>
      <c r="AI8" s="36">
        <f t="shared" si="14"/>
        <v>67.484880825329057</v>
      </c>
      <c r="AJ8" s="38">
        <v>8.7499999999999999E-5</v>
      </c>
      <c r="AK8" s="160">
        <f t="shared" si="15"/>
        <v>80.687830687830669</v>
      </c>
      <c r="AL8" s="207">
        <v>3.5902777777777777E-4</v>
      </c>
      <c r="AM8" s="36">
        <f t="shared" si="17"/>
        <v>100</v>
      </c>
      <c r="AN8" s="7"/>
      <c r="AO8" s="29" t="str">
        <f t="shared" si="18"/>
        <v>Unity</v>
      </c>
      <c r="AP8" s="30">
        <f t="shared" si="19"/>
        <v>1278.7118217806139</v>
      </c>
      <c r="AQ8" s="43">
        <f>RANK(AP8,$AP$3:$AP$24,0)</f>
        <v>6</v>
      </c>
      <c r="AR8" s="44">
        <v>6</v>
      </c>
      <c r="AS8" s="7" t="str">
        <f>INDEX($AO$3:AO27,MATCH(AR8,$AQ$3:$AQ$22,0))</f>
        <v>Unity</v>
      </c>
      <c r="AT8" s="9">
        <f>INDEX($AP$3:$AP$22,MATCH(AS8,$AO$3:$AO$22,0))</f>
        <v>1278.7118217806139</v>
      </c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</row>
    <row r="9" spans="1:255" ht="12" customHeight="1">
      <c r="A9" s="23" t="s">
        <v>53</v>
      </c>
      <c r="B9" s="45">
        <v>2.3495370370370371E-3</v>
      </c>
      <c r="C9" s="46">
        <f t="shared" si="0"/>
        <v>91.64039408866995</v>
      </c>
      <c r="D9" s="45">
        <v>2.276851851851852E-3</v>
      </c>
      <c r="E9" s="46">
        <f t="shared" si="1"/>
        <v>77.541683611224073</v>
      </c>
      <c r="F9" s="45">
        <v>3.9228009259259259E-3</v>
      </c>
      <c r="G9" s="46">
        <f t="shared" si="2"/>
        <v>50.55321157761189</v>
      </c>
      <c r="H9" s="26">
        <v>2.8869212962962967E-3</v>
      </c>
      <c r="I9" s="46">
        <f t="shared" si="3"/>
        <v>57.90402116826364</v>
      </c>
      <c r="J9" s="26">
        <v>9.6965277777777794E-4</v>
      </c>
      <c r="K9" s="46">
        <f t="shared" si="4"/>
        <v>83.9659576499797</v>
      </c>
      <c r="L9" s="47">
        <v>6.7204282407407404E-3</v>
      </c>
      <c r="M9" s="46">
        <f t="shared" si="5"/>
        <v>73.502742639650734</v>
      </c>
      <c r="N9" s="48">
        <v>14</v>
      </c>
      <c r="O9" s="46">
        <f t="shared" si="6"/>
        <v>51.851851851851848</v>
      </c>
      <c r="P9" s="26">
        <v>3.1342592592592593E-4</v>
      </c>
      <c r="Q9" s="46">
        <f t="shared" si="7"/>
        <v>55.982274741506643</v>
      </c>
      <c r="R9" s="49">
        <f>Birling!B9</f>
        <v>6.81</v>
      </c>
      <c r="S9" s="46">
        <f>Birling!C9</f>
        <v>2.1006362058993635</v>
      </c>
      <c r="T9" s="26">
        <v>1.3288194444444443E-3</v>
      </c>
      <c r="U9" s="46">
        <f t="shared" si="8"/>
        <v>62.834247887814655</v>
      </c>
      <c r="V9" s="48">
        <v>0</v>
      </c>
      <c r="W9" s="46">
        <f t="shared" si="9"/>
        <v>0</v>
      </c>
      <c r="X9" s="26">
        <v>1.1994212962962963E-3</v>
      </c>
      <c r="Y9" s="46">
        <f t="shared" si="10"/>
        <v>36.003087908906686</v>
      </c>
      <c r="Z9" s="47">
        <v>7.1111111111111115E-4</v>
      </c>
      <c r="AA9" s="46">
        <f t="shared" si="11"/>
        <v>72.0458984375</v>
      </c>
      <c r="AB9" s="45">
        <v>1.4594907407407406E-3</v>
      </c>
      <c r="AC9" s="46">
        <f t="shared" si="12"/>
        <v>29.651070578905635</v>
      </c>
      <c r="AD9" s="26">
        <v>1.2057870370370371E-3</v>
      </c>
      <c r="AE9" s="46">
        <f t="shared" si="13"/>
        <v>52.937224035323482</v>
      </c>
      <c r="AF9" s="45">
        <v>9.8368055555555557E-4</v>
      </c>
      <c r="AG9" s="46">
        <f t="shared" si="16"/>
        <v>68.13742793269796</v>
      </c>
      <c r="AH9" s="26">
        <v>3.3163194444444447E-3</v>
      </c>
      <c r="AI9" s="46">
        <f t="shared" si="14"/>
        <v>52.964785537291029</v>
      </c>
      <c r="AJ9" s="47">
        <v>3.452546296296296E-4</v>
      </c>
      <c r="AK9" s="159">
        <f t="shared" si="15"/>
        <v>20.449212202480723</v>
      </c>
      <c r="AL9" s="208">
        <v>1.3895833333333332E-3</v>
      </c>
      <c r="AM9" s="46">
        <f t="shared" si="17"/>
        <v>25.837081459270365</v>
      </c>
      <c r="AN9" s="10"/>
      <c r="AO9" s="29" t="str">
        <f t="shared" si="18"/>
        <v>UVM</v>
      </c>
      <c r="AP9" s="30">
        <f t="shared" si="19"/>
        <v>965.90280951484829</v>
      </c>
      <c r="AQ9" s="50">
        <f>RANK(AP9,$AP$3:$AP$24,0)</f>
        <v>12</v>
      </c>
      <c r="AR9" s="32">
        <v>7</v>
      </c>
      <c r="AS9" s="10" t="str">
        <f>INDEX($AO$3:AO28,MATCH(AR9,$AQ$3:$AQ$22,0))</f>
        <v>Colby</v>
      </c>
      <c r="AT9" s="33">
        <f>INDEX($AP$3:$AP$22,MATCH(AS9,$AO$3:$AO$22,0))</f>
        <v>1227.618927415466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r="10" spans="1:255" ht="12" customHeight="1">
      <c r="A10" s="34" t="s">
        <v>48</v>
      </c>
      <c r="B10" s="35">
        <v>2.9137731481481484E-3</v>
      </c>
      <c r="C10" s="36">
        <f t="shared" si="0"/>
        <v>73.89473684210526</v>
      </c>
      <c r="D10" s="35">
        <v>2.1593750000000003E-3</v>
      </c>
      <c r="E10" s="36">
        <f t="shared" si="1"/>
        <v>81.760197245001876</v>
      </c>
      <c r="F10" s="35">
        <v>2.0104166666666669E-3</v>
      </c>
      <c r="G10" s="36">
        <f t="shared" si="2"/>
        <v>98.641335636154267</v>
      </c>
      <c r="H10" s="37">
        <v>2.0285879629629629E-3</v>
      </c>
      <c r="I10" s="36">
        <f t="shared" si="3"/>
        <v>82.404290523192799</v>
      </c>
      <c r="J10" s="37">
        <v>9.231481481481482E-4</v>
      </c>
      <c r="K10" s="36">
        <f t="shared" si="4"/>
        <v>88.195837512537608</v>
      </c>
      <c r="L10" s="38">
        <v>8.590046296296297E-3</v>
      </c>
      <c r="M10" s="36">
        <f t="shared" si="5"/>
        <v>57.504917944433956</v>
      </c>
      <c r="N10" s="39">
        <v>10</v>
      </c>
      <c r="O10" s="36">
        <f t="shared" si="6"/>
        <v>37.037037037037038</v>
      </c>
      <c r="P10" s="37">
        <v>4.732638888888889E-4</v>
      </c>
      <c r="Q10" s="36">
        <f t="shared" si="7"/>
        <v>37.07507948153583</v>
      </c>
      <c r="R10" s="40">
        <f>Birling!B10</f>
        <v>3.03</v>
      </c>
      <c r="S10" s="36">
        <f>Birling!C10</f>
        <v>0.93464430306535562</v>
      </c>
      <c r="T10" s="37">
        <v>2.0582175925925928E-3</v>
      </c>
      <c r="U10" s="36">
        <f t="shared" si="8"/>
        <v>40.566833492661523</v>
      </c>
      <c r="V10" s="39">
        <v>18</v>
      </c>
      <c r="W10" s="36">
        <f t="shared" si="9"/>
        <v>75</v>
      </c>
      <c r="X10" s="37">
        <v>9.1990740740740737E-4</v>
      </c>
      <c r="Y10" s="36">
        <f t="shared" si="10"/>
        <v>46.942627075993968</v>
      </c>
      <c r="Z10" s="38">
        <v>5.2899305555555544E-4</v>
      </c>
      <c r="AA10" s="36">
        <f t="shared" si="11"/>
        <v>96.849360026255354</v>
      </c>
      <c r="AB10" s="35">
        <v>5.7847222222222219E-4</v>
      </c>
      <c r="AC10" s="36">
        <f t="shared" si="12"/>
        <v>74.809923969587842</v>
      </c>
      <c r="AD10" s="37">
        <v>1.3537037037037035E-3</v>
      </c>
      <c r="AE10" s="36">
        <f t="shared" si="13"/>
        <v>47.152872777017791</v>
      </c>
      <c r="AF10" s="35">
        <v>1.2179398148148147E-3</v>
      </c>
      <c r="AG10" s="36">
        <f t="shared" si="16"/>
        <v>55.031835028033825</v>
      </c>
      <c r="AH10" s="35">
        <v>2.950578703703704E-3</v>
      </c>
      <c r="AI10" s="36">
        <f t="shared" si="14"/>
        <v>59.530067077236879</v>
      </c>
      <c r="AJ10" s="38">
        <v>1.2858796296296294E-4</v>
      </c>
      <c r="AK10" s="160">
        <f t="shared" si="15"/>
        <v>54.905490549054903</v>
      </c>
      <c r="AL10" s="207">
        <v>7.6226851851851846E-4</v>
      </c>
      <c r="AM10" s="36">
        <f t="shared" si="17"/>
        <v>47.099908897661706</v>
      </c>
      <c r="AN10" s="7"/>
      <c r="AO10" s="29" t="str">
        <f t="shared" si="18"/>
        <v>Cobleskill</v>
      </c>
      <c r="AP10" s="30">
        <f t="shared" si="19"/>
        <v>1155.3369954185678</v>
      </c>
      <c r="AQ10" s="43">
        <f>RANK(AP10,$AP$3:$AP$24,0)</f>
        <v>10</v>
      </c>
      <c r="AR10" s="44">
        <v>8</v>
      </c>
      <c r="AS10" s="7" t="str">
        <f>INDEX($AO$3:AO29,MATCH(AR10,$AQ$3:$AQ$22,0))</f>
        <v>Ranger</v>
      </c>
      <c r="AT10" s="9">
        <f>INDEX($AP$3:$AP$22,MATCH(AS10,$AO$3:$AO$22,0))</f>
        <v>1216.4958389984952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1:255" ht="12" customHeight="1">
      <c r="A11" s="23" t="s">
        <v>49</v>
      </c>
      <c r="B11" s="45">
        <v>3.0363425925925927E-3</v>
      </c>
      <c r="C11" s="46">
        <f t="shared" si="0"/>
        <v>70.911793855302278</v>
      </c>
      <c r="D11" s="45">
        <v>2.2674768518518517E-3</v>
      </c>
      <c r="E11" s="46">
        <f t="shared" si="1"/>
        <v>77.862283701699781</v>
      </c>
      <c r="F11" s="45">
        <v>2.622800925925926E-3</v>
      </c>
      <c r="G11" s="46">
        <f t="shared" si="2"/>
        <v>75.610078990335822</v>
      </c>
      <c r="H11" s="26">
        <v>7.0381944444444441E-3</v>
      </c>
      <c r="I11" s="46">
        <f t="shared" si="3"/>
        <v>23.751027791481668</v>
      </c>
      <c r="J11" s="26">
        <v>1.4077546296296295E-3</v>
      </c>
      <c r="K11" s="46">
        <f t="shared" si="4"/>
        <v>57.835238016936621</v>
      </c>
      <c r="L11" s="47">
        <v>9.923148148148148E-3</v>
      </c>
      <c r="M11" s="46">
        <f t="shared" si="5"/>
        <v>49.779555845852379</v>
      </c>
      <c r="N11" s="48">
        <v>11</v>
      </c>
      <c r="O11" s="46">
        <f t="shared" si="6"/>
        <v>40.74074074074074</v>
      </c>
      <c r="P11" s="26">
        <v>5.1516203703703706E-4</v>
      </c>
      <c r="Q11" s="46">
        <f t="shared" si="7"/>
        <v>34.059761851269378</v>
      </c>
      <c r="R11" s="49">
        <f>Birling!B11</f>
        <v>14.12</v>
      </c>
      <c r="S11" s="46">
        <f>Birling!C11</f>
        <v>4.3555041449778287</v>
      </c>
      <c r="T11" s="26">
        <v>1.8670138888888888E-3</v>
      </c>
      <c r="U11" s="46">
        <f t="shared" si="8"/>
        <v>44.721343996032481</v>
      </c>
      <c r="V11" s="48">
        <v>4</v>
      </c>
      <c r="W11" s="46">
        <f t="shared" si="9"/>
        <v>16.666666666666664</v>
      </c>
      <c r="X11" s="26">
        <v>5.0593749999999996E-3</v>
      </c>
      <c r="Y11" s="46">
        <f t="shared" si="10"/>
        <v>8.5352183560954415</v>
      </c>
      <c r="Z11" s="47">
        <v>9.8686342592592597E-4</v>
      </c>
      <c r="AA11" s="46">
        <f t="shared" si="11"/>
        <v>51.914619128599071</v>
      </c>
      <c r="AB11" s="45">
        <v>1.1645833333333332E-3</v>
      </c>
      <c r="AC11" s="46">
        <f t="shared" si="12"/>
        <v>37.159610415424375</v>
      </c>
      <c r="AD11" s="26">
        <v>1.438310185185185E-3</v>
      </c>
      <c r="AE11" s="46">
        <f t="shared" si="13"/>
        <v>44.379174378369683</v>
      </c>
      <c r="AF11" s="45">
        <v>2.3399305555555556E-3</v>
      </c>
      <c r="AG11" s="46">
        <f t="shared" si="16"/>
        <v>28.644210318049161</v>
      </c>
      <c r="AH11" s="45">
        <v>2.5944444444444444E-3</v>
      </c>
      <c r="AI11" s="46">
        <f t="shared" si="14"/>
        <v>67.70164168451106</v>
      </c>
      <c r="AJ11" s="47">
        <v>2.0370370370370369E-4</v>
      </c>
      <c r="AK11" s="159">
        <f t="shared" si="15"/>
        <v>34.659090909090907</v>
      </c>
      <c r="AL11" s="208">
        <v>1.0950231481481481E-3</v>
      </c>
      <c r="AM11" s="46">
        <f t="shared" si="17"/>
        <v>32.787231793679318</v>
      </c>
      <c r="AN11" s="10"/>
      <c r="AO11" s="29" t="str">
        <f t="shared" si="18"/>
        <v>Dartmouth</v>
      </c>
      <c r="AP11" s="30">
        <f t="shared" si="19"/>
        <v>802.07479258511478</v>
      </c>
      <c r="AQ11" s="50">
        <f>RANK(AP11,$AP$3:$AP$24,0)</f>
        <v>13</v>
      </c>
      <c r="AR11" s="32">
        <v>9</v>
      </c>
      <c r="AS11" s="10" t="str">
        <f>INDEX($AO$3:AO30,MATCH(AR11,$AQ$3:$AQ$22,0))</f>
        <v>UMO</v>
      </c>
      <c r="AT11" s="33">
        <f>INDEX($AP$3:$AP$22,MATCH(AS11,$AO$3:$AO$22,0))</f>
        <v>1157.0947125658943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</row>
    <row r="12" spans="1:255" ht="12" customHeight="1">
      <c r="A12" s="34" t="s">
        <v>59</v>
      </c>
      <c r="B12" s="35">
        <v>2.4385416666666665E-3</v>
      </c>
      <c r="C12" s="36">
        <f t="shared" si="0"/>
        <v>88.295600170867161</v>
      </c>
      <c r="D12" s="35">
        <v>2.0896990740740741E-3</v>
      </c>
      <c r="E12" s="36">
        <f t="shared" si="1"/>
        <v>84.48629188590418</v>
      </c>
      <c r="F12" s="35">
        <v>2.4150462962962966E-3</v>
      </c>
      <c r="G12" s="36">
        <f t="shared" si="2"/>
        <v>82.114444550944114</v>
      </c>
      <c r="H12" s="37">
        <v>2.6278935185185186E-3</v>
      </c>
      <c r="I12" s="36">
        <f t="shared" si="3"/>
        <v>63.61153930852236</v>
      </c>
      <c r="J12" s="37">
        <v>1.1969907407407409E-3</v>
      </c>
      <c r="K12" s="36">
        <f t="shared" si="4"/>
        <v>68.018758460645898</v>
      </c>
      <c r="L12" s="38">
        <v>5.3876157407407414E-3</v>
      </c>
      <c r="M12" s="36">
        <f t="shared" si="5"/>
        <v>91.686180154246046</v>
      </c>
      <c r="N12" s="39">
        <v>25</v>
      </c>
      <c r="O12" s="36">
        <f t="shared" si="6"/>
        <v>92.592592592592595</v>
      </c>
      <c r="P12" s="37">
        <v>2.9803240740740739E-4</v>
      </c>
      <c r="Q12" s="36">
        <f t="shared" si="7"/>
        <v>58.873786407766993</v>
      </c>
      <c r="R12" s="40">
        <f>Birling!B12</f>
        <v>4.8099999999999996</v>
      </c>
      <c r="S12" s="36">
        <f>Birling!C12</f>
        <v>1.4837092731829571</v>
      </c>
      <c r="T12" s="37">
        <v>1.5222222222222223E-3</v>
      </c>
      <c r="U12" s="36">
        <f t="shared" si="8"/>
        <v>54.850973236009729</v>
      </c>
      <c r="V12" s="39">
        <v>13</v>
      </c>
      <c r="W12" s="36">
        <f t="shared" si="9"/>
        <v>54.166666666666664</v>
      </c>
      <c r="X12" s="37">
        <v>1.291550925925926E-3</v>
      </c>
      <c r="Y12" s="36">
        <f t="shared" si="10"/>
        <v>33.43489559996415</v>
      </c>
      <c r="Z12" s="38">
        <v>5.559606481481482E-4</v>
      </c>
      <c r="AA12" s="36">
        <f t="shared" si="11"/>
        <v>92.151556156968866</v>
      </c>
      <c r="AB12" s="35">
        <v>8.6388888888888887E-4</v>
      </c>
      <c r="AC12" s="36">
        <f t="shared" si="12"/>
        <v>50.093783494105047</v>
      </c>
      <c r="AD12" s="37">
        <v>1.5973379629629629E-3</v>
      </c>
      <c r="AE12" s="36">
        <f t="shared" si="13"/>
        <v>39.960872400550691</v>
      </c>
      <c r="AF12" s="35">
        <v>1.1266203703703705E-3</v>
      </c>
      <c r="AG12" s="36">
        <f t="shared" si="16"/>
        <v>59.492500513663437</v>
      </c>
      <c r="AH12" s="37">
        <v>1.7564814814814813E-3</v>
      </c>
      <c r="AI12" s="36">
        <f t="shared" si="14"/>
        <v>100</v>
      </c>
      <c r="AJ12" s="38">
        <v>1.7361111111111112E-4</v>
      </c>
      <c r="AK12" s="160">
        <f t="shared" si="15"/>
        <v>40.666666666666664</v>
      </c>
      <c r="AL12" s="207">
        <v>5.9328703703703703E-4</v>
      </c>
      <c r="AM12" s="36">
        <f t="shared" si="17"/>
        <v>60.515021459227469</v>
      </c>
      <c r="AN12" s="7"/>
      <c r="AO12" s="29" t="str">
        <f t="shared" si="18"/>
        <v>Ranger</v>
      </c>
      <c r="AP12" s="30">
        <f t="shared" si="19"/>
        <v>1216.4958389984952</v>
      </c>
      <c r="AQ12" s="43">
        <f>RANK(AP12,$AP$3:$AP$24,0)</f>
        <v>8</v>
      </c>
      <c r="AR12" s="44">
        <v>10</v>
      </c>
      <c r="AS12" s="7" t="str">
        <f>INDEX($AO$3:AO31,MATCH(AR12,$AQ$3:$AQ$22,0))</f>
        <v>Cobleskill</v>
      </c>
      <c r="AT12" s="9">
        <f>INDEX($AP$3:$AP$22,MATCH(AS12,$AO$3:$AO$22,0))</f>
        <v>1155.3369954185678</v>
      </c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</row>
    <row r="13" spans="1:255" s="150" customFormat="1" ht="12" customHeight="1">
      <c r="A13" s="248" t="s">
        <v>31</v>
      </c>
      <c r="B13" s="249">
        <v>2.3694444444444444E-3</v>
      </c>
      <c r="C13" s="250">
        <f t="shared" si="0"/>
        <v>90.870457209847601</v>
      </c>
      <c r="D13" s="249">
        <v>2.1312499999999999E-3</v>
      </c>
      <c r="E13" s="250">
        <f t="shared" si="1"/>
        <v>82.839144129466717</v>
      </c>
      <c r="F13" s="249">
        <v>2.4005787037037038E-3</v>
      </c>
      <c r="G13" s="250">
        <f t="shared" si="2"/>
        <v>82.609324526300554</v>
      </c>
      <c r="H13" s="251">
        <v>1.6716435185185187E-3</v>
      </c>
      <c r="I13" s="250">
        <f t="shared" si="3"/>
        <v>100</v>
      </c>
      <c r="J13" s="251">
        <v>8.3478009259259269E-4</v>
      </c>
      <c r="K13" s="250">
        <f t="shared" si="4"/>
        <v>97.532062391681094</v>
      </c>
      <c r="L13" s="252">
        <v>4.9396990740740738E-3</v>
      </c>
      <c r="M13" s="250">
        <f t="shared" si="5"/>
        <v>100</v>
      </c>
      <c r="N13" s="253">
        <v>23</v>
      </c>
      <c r="O13" s="250">
        <f t="shared" si="6"/>
        <v>85.18518518518519</v>
      </c>
      <c r="P13" s="251">
        <v>1.7546296296296296E-4</v>
      </c>
      <c r="Q13" s="250">
        <f t="shared" si="7"/>
        <v>100</v>
      </c>
      <c r="R13" s="254">
        <f>Birling!B13</f>
        <v>173.05</v>
      </c>
      <c r="S13" s="250">
        <f>Birling!C13</f>
        <v>100</v>
      </c>
      <c r="T13" s="251">
        <v>8.3495370370370364E-4</v>
      </c>
      <c r="U13" s="250">
        <f t="shared" si="8"/>
        <v>100</v>
      </c>
      <c r="V13" s="253">
        <v>17</v>
      </c>
      <c r="W13" s="250">
        <f t="shared" si="9"/>
        <v>70.833333333333343</v>
      </c>
      <c r="X13" s="251">
        <v>4.6527777777777778E-4</v>
      </c>
      <c r="Y13" s="250">
        <f t="shared" si="10"/>
        <v>92.810945273631845</v>
      </c>
      <c r="Z13" s="252">
        <v>6.876157407407407E-4</v>
      </c>
      <c r="AA13" s="250">
        <f t="shared" si="11"/>
        <v>74.507658643326053</v>
      </c>
      <c r="AB13" s="249">
        <v>4.5775462962962957E-4</v>
      </c>
      <c r="AC13" s="250">
        <f t="shared" si="12"/>
        <v>94.538558786346414</v>
      </c>
      <c r="AD13" s="251">
        <v>6.3831018518518523E-4</v>
      </c>
      <c r="AE13" s="250">
        <f t="shared" si="13"/>
        <v>100</v>
      </c>
      <c r="AF13" s="249">
        <v>6.7025462962962959E-4</v>
      </c>
      <c r="AG13" s="250">
        <f t="shared" si="16"/>
        <v>100</v>
      </c>
      <c r="AH13" s="251">
        <v>2.3092592592592596E-3</v>
      </c>
      <c r="AI13" s="250">
        <f t="shared" si="14"/>
        <v>76.062550120288677</v>
      </c>
      <c r="AJ13" s="252">
        <v>1.0023148148148148E-4</v>
      </c>
      <c r="AK13" s="161">
        <f t="shared" si="15"/>
        <v>70.438799076212462</v>
      </c>
      <c r="AL13" s="209">
        <v>3.6979166666666665E-4</v>
      </c>
      <c r="AM13" s="250">
        <f t="shared" si="17"/>
        <v>97.089201877934272</v>
      </c>
      <c r="AN13" s="255"/>
      <c r="AO13" s="256" t="str">
        <f t="shared" si="18"/>
        <v>Paul Smiths</v>
      </c>
      <c r="AP13" s="30">
        <f t="shared" si="19"/>
        <v>1715.3172205535543</v>
      </c>
      <c r="AQ13" s="257">
        <f>RANK(AP13,$AP$3:$AP$24,0)</f>
        <v>1</v>
      </c>
      <c r="AR13" s="247">
        <v>11</v>
      </c>
      <c r="AS13" s="255" t="str">
        <f>INDEX($AO$3:AO32,MATCH(AR13,$AQ$3:$AQ$22,0))</f>
        <v>Morrisville</v>
      </c>
      <c r="AT13" s="258">
        <f>INDEX($AP$3:$AP$22,MATCH(AS13,$AO$3:$AO$22,0))</f>
        <v>1101.7617390249295</v>
      </c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Q13" s="255"/>
      <c r="CR13" s="255"/>
      <c r="CS13" s="255"/>
      <c r="CT13" s="255"/>
      <c r="CU13" s="255"/>
      <c r="CV13" s="255"/>
      <c r="CW13" s="255"/>
      <c r="CX13" s="255"/>
      <c r="CY13" s="255"/>
      <c r="CZ13" s="255"/>
      <c r="DA13" s="255"/>
      <c r="DB13" s="255"/>
      <c r="DC13" s="255"/>
      <c r="DD13" s="255"/>
      <c r="DE13" s="255"/>
      <c r="DF13" s="255"/>
      <c r="DG13" s="255"/>
      <c r="DH13" s="255"/>
      <c r="DI13" s="255"/>
      <c r="DJ13" s="255"/>
      <c r="DK13" s="255"/>
      <c r="DL13" s="255"/>
      <c r="DM13" s="255"/>
      <c r="DN13" s="255"/>
      <c r="DO13" s="255"/>
      <c r="DP13" s="255"/>
      <c r="DQ13" s="255"/>
      <c r="DR13" s="255"/>
      <c r="DS13" s="255"/>
      <c r="DT13" s="255"/>
      <c r="DU13" s="255"/>
      <c r="DV13" s="255"/>
      <c r="DW13" s="255"/>
      <c r="DX13" s="255"/>
      <c r="DY13" s="255"/>
      <c r="DZ13" s="255"/>
      <c r="EA13" s="255"/>
      <c r="EB13" s="255"/>
      <c r="EC13" s="255"/>
      <c r="ED13" s="255"/>
      <c r="EE13" s="255"/>
      <c r="EF13" s="255"/>
      <c r="EG13" s="255"/>
      <c r="EH13" s="255"/>
      <c r="EI13" s="255"/>
      <c r="EJ13" s="255"/>
      <c r="EK13" s="255"/>
      <c r="EL13" s="255"/>
      <c r="EM13" s="255"/>
      <c r="EN13" s="255"/>
      <c r="EO13" s="255"/>
      <c r="EP13" s="255"/>
      <c r="EQ13" s="255"/>
      <c r="ER13" s="255"/>
      <c r="ES13" s="255"/>
      <c r="ET13" s="255"/>
      <c r="EU13" s="255"/>
      <c r="EV13" s="255"/>
      <c r="EW13" s="255"/>
    </row>
    <row r="14" spans="1:255" ht="12" customHeight="1">
      <c r="A14" s="34" t="s">
        <v>47</v>
      </c>
      <c r="B14" s="35">
        <v>2.5787037037037037E-3</v>
      </c>
      <c r="C14" s="36">
        <f t="shared" si="0"/>
        <v>83.496409335727122</v>
      </c>
      <c r="D14" s="35">
        <v>2.7556712962962964E-3</v>
      </c>
      <c r="E14" s="36">
        <f t="shared" si="1"/>
        <v>64.068209500609015</v>
      </c>
      <c r="F14" s="35">
        <v>3.0193287037037033E-3</v>
      </c>
      <c r="G14" s="36">
        <f t="shared" si="2"/>
        <v>65.680223866293559</v>
      </c>
      <c r="H14" s="37">
        <v>3.1430555555555552E-3</v>
      </c>
      <c r="I14" s="36">
        <f t="shared" si="3"/>
        <v>53.185299749594947</v>
      </c>
      <c r="J14" s="37">
        <v>1.1868634259259261E-3</v>
      </c>
      <c r="K14" s="36">
        <f t="shared" si="4"/>
        <v>68.599151591983997</v>
      </c>
      <c r="L14" s="38">
        <v>6.4519675925925925E-3</v>
      </c>
      <c r="M14" s="36">
        <f t="shared" si="5"/>
        <v>76.561126558435731</v>
      </c>
      <c r="N14" s="39">
        <v>15</v>
      </c>
      <c r="O14" s="36">
        <f t="shared" si="6"/>
        <v>55.555555555555557</v>
      </c>
      <c r="P14" s="37">
        <v>3.2511574074074078E-4</v>
      </c>
      <c r="Q14" s="36">
        <f t="shared" si="7"/>
        <v>53.969384122463502</v>
      </c>
      <c r="R14" s="40">
        <f>Birling!B14</f>
        <v>16.72</v>
      </c>
      <c r="S14" s="36">
        <f>Birling!C14</f>
        <v>5.1575091575091569</v>
      </c>
      <c r="T14" s="37">
        <v>1.027662037037037E-3</v>
      </c>
      <c r="U14" s="36">
        <f t="shared" si="8"/>
        <v>81.247888275706728</v>
      </c>
      <c r="V14" s="39">
        <v>11</v>
      </c>
      <c r="W14" s="36">
        <f t="shared" si="9"/>
        <v>45.833333333333329</v>
      </c>
      <c r="X14" s="37">
        <v>1.0251157407407407E-3</v>
      </c>
      <c r="Y14" s="36">
        <f t="shared" si="10"/>
        <v>42.124872981822293</v>
      </c>
      <c r="Z14" s="38">
        <v>5.1232638888888888E-4</v>
      </c>
      <c r="AA14" s="36">
        <f t="shared" si="11"/>
        <v>100</v>
      </c>
      <c r="AB14" s="35">
        <v>5.90625E-4</v>
      </c>
      <c r="AC14" s="36">
        <f t="shared" si="12"/>
        <v>73.270625122476986</v>
      </c>
      <c r="AD14" s="37">
        <v>7.4988425925925928E-4</v>
      </c>
      <c r="AE14" s="36">
        <f t="shared" si="13"/>
        <v>85.121160672943361</v>
      </c>
      <c r="AF14" s="35">
        <v>1.5237268518518518E-3</v>
      </c>
      <c r="AG14" s="36">
        <f t="shared" si="16"/>
        <v>43.987846562856056</v>
      </c>
      <c r="AH14" s="35">
        <v>3.6398148148148149E-3</v>
      </c>
      <c r="AI14" s="36">
        <f t="shared" si="14"/>
        <v>48.257440854744331</v>
      </c>
      <c r="AJ14" s="38">
        <v>7.0601851851851845E-5</v>
      </c>
      <c r="AK14" s="160">
        <f t="shared" si="15"/>
        <v>100</v>
      </c>
      <c r="AL14" s="207">
        <v>4.4050925925925936E-4</v>
      </c>
      <c r="AM14" s="36">
        <f t="shared" si="17"/>
        <v>81.502890173410378</v>
      </c>
      <c r="AN14" s="7"/>
      <c r="AO14" s="29" t="str">
        <f t="shared" si="18"/>
        <v>Colby</v>
      </c>
      <c r="AP14" s="30">
        <f t="shared" si="19"/>
        <v>1227.618927415466</v>
      </c>
      <c r="AQ14" s="43">
        <f>RANK(AP14,$AP$3:$AP$24,0)</f>
        <v>7</v>
      </c>
      <c r="AR14" s="44">
        <v>12</v>
      </c>
      <c r="AS14" s="7" t="str">
        <f>INDEX($AO$3:AO33,MATCH(AR14,$AQ$3:$AQ$22,0))</f>
        <v>UVM</v>
      </c>
      <c r="AT14" s="9">
        <f>INDEX($AP$3:$AP$22,MATCH(AS14,$AO$3:$AO$22,0))</f>
        <v>965.90280951484829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</row>
    <row r="15" spans="1:255" ht="12" customHeight="1">
      <c r="A15" s="23" t="s">
        <v>34</v>
      </c>
      <c r="B15" s="45">
        <v>2.7748842592592595E-3</v>
      </c>
      <c r="C15" s="46">
        <f t="shared" si="0"/>
        <v>77.593326381647543</v>
      </c>
      <c r="D15" s="45">
        <v>2.9240740740740737E-3</v>
      </c>
      <c r="E15" s="46">
        <f t="shared" si="1"/>
        <v>60.378404053198246</v>
      </c>
      <c r="F15" s="45">
        <v>2.5175925925925925E-3</v>
      </c>
      <c r="G15" s="46">
        <f t="shared" si="2"/>
        <v>78.769768297168071</v>
      </c>
      <c r="H15" s="26">
        <v>2.5581018518518518E-3</v>
      </c>
      <c r="I15" s="46">
        <f t="shared" si="3"/>
        <v>65.347027418333198</v>
      </c>
      <c r="J15" s="26">
        <v>1.1383680555555557E-3</v>
      </c>
      <c r="K15" s="46">
        <f t="shared" si="4"/>
        <v>71.52152915459304</v>
      </c>
      <c r="L15" s="47">
        <v>6.4878472222222212E-3</v>
      </c>
      <c r="M15" s="46">
        <f t="shared" si="5"/>
        <v>76.137721880296155</v>
      </c>
      <c r="N15" s="48">
        <v>18</v>
      </c>
      <c r="O15" s="46">
        <f t="shared" si="6"/>
        <v>66.666666666666657</v>
      </c>
      <c r="P15" s="26">
        <v>3.6631944444444445E-4</v>
      </c>
      <c r="Q15" s="46">
        <f t="shared" si="7"/>
        <v>47.898894154818322</v>
      </c>
      <c r="R15" s="49">
        <f>Birling!B15</f>
        <v>259.35000000000002</v>
      </c>
      <c r="S15" s="46">
        <f>Birling!C15</f>
        <v>80</v>
      </c>
      <c r="T15" s="26">
        <v>1.707638888888889E-3</v>
      </c>
      <c r="U15" s="46">
        <f t="shared" si="8"/>
        <v>48.895214856987927</v>
      </c>
      <c r="V15" s="48">
        <v>18</v>
      </c>
      <c r="W15" s="46">
        <f t="shared" si="9"/>
        <v>75</v>
      </c>
      <c r="X15" s="26">
        <v>7.7266203703703698E-3</v>
      </c>
      <c r="Y15" s="46">
        <f t="shared" si="10"/>
        <v>5.5888432846999621</v>
      </c>
      <c r="Z15" s="47">
        <v>1.0116319444444446E-3</v>
      </c>
      <c r="AA15" s="46">
        <f t="shared" si="11"/>
        <v>50.643555860648689</v>
      </c>
      <c r="AB15" s="45">
        <v>7.635416666666666E-4</v>
      </c>
      <c r="AC15" s="46">
        <f t="shared" si="12"/>
        <v>56.677277550401705</v>
      </c>
      <c r="AD15" s="26">
        <v>1.2685185185185184E-3</v>
      </c>
      <c r="AE15" s="46">
        <f t="shared" si="13"/>
        <v>50.319343065693431</v>
      </c>
      <c r="AF15" s="45">
        <v>1.1807870370370373E-3</v>
      </c>
      <c r="AG15" s="46">
        <f t="shared" si="16"/>
        <v>56.763379729464788</v>
      </c>
      <c r="AH15" s="45">
        <v>2.2762731481481484E-3</v>
      </c>
      <c r="AI15" s="46">
        <f t="shared" si="14"/>
        <v>77.164793817053933</v>
      </c>
      <c r="AJ15" s="47">
        <v>1.4062500000000002E-4</v>
      </c>
      <c r="AK15" s="159">
        <f t="shared" si="15"/>
        <v>50.205761316872419</v>
      </c>
      <c r="AL15" s="208">
        <v>5.8356481481481486E-4</v>
      </c>
      <c r="AM15" s="46">
        <f t="shared" si="17"/>
        <v>61.523205077350255</v>
      </c>
      <c r="AN15" s="10"/>
      <c r="AO15" s="29" t="str">
        <f t="shared" si="18"/>
        <v>UMO</v>
      </c>
      <c r="AP15" s="30">
        <f t="shared" si="19"/>
        <v>1157.0947125658943</v>
      </c>
      <c r="AQ15" s="50">
        <f>RANK(AP15,$AP$3:$AP$24,0)</f>
        <v>9</v>
      </c>
      <c r="AR15" s="32">
        <v>13</v>
      </c>
      <c r="AS15" s="10" t="str">
        <f>INDEX($AO$3:AO34,MATCH(AR15,$AQ$3:$AQ$22,0))</f>
        <v>Dartmouth</v>
      </c>
      <c r="AT15" s="33">
        <f>INDEX($AP$3:$AP$22,MATCH(AS15,$AO$3:$AO$22,0))</f>
        <v>802.07479258511478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</row>
    <row r="16" spans="1:255" ht="12" customHeight="1">
      <c r="A16" s="34"/>
      <c r="B16" s="35"/>
      <c r="C16" s="36" t="str">
        <f t="shared" si="0"/>
        <v/>
      </c>
      <c r="D16" s="35"/>
      <c r="E16" s="36" t="str">
        <f t="shared" si="1"/>
        <v/>
      </c>
      <c r="F16" s="35"/>
      <c r="G16" s="36" t="str">
        <f t="shared" si="2"/>
        <v/>
      </c>
      <c r="H16" s="37"/>
      <c r="I16" s="36" t="str">
        <f t="shared" si="3"/>
        <v/>
      </c>
      <c r="J16" s="37"/>
      <c r="K16" s="36" t="str">
        <f t="shared" si="4"/>
        <v/>
      </c>
      <c r="L16" s="38"/>
      <c r="M16" s="36" t="str">
        <f t="shared" si="5"/>
        <v/>
      </c>
      <c r="N16" s="39"/>
      <c r="O16" s="36" t="str">
        <f t="shared" si="6"/>
        <v/>
      </c>
      <c r="P16" s="37"/>
      <c r="Q16" s="36" t="str">
        <f t="shared" si="7"/>
        <v/>
      </c>
      <c r="R16" s="40"/>
      <c r="S16" s="36"/>
      <c r="T16" s="37"/>
      <c r="U16" s="36" t="str">
        <f t="shared" si="8"/>
        <v/>
      </c>
      <c r="V16" s="39"/>
      <c r="W16" s="36" t="str">
        <f t="shared" si="9"/>
        <v/>
      </c>
      <c r="X16" s="37"/>
      <c r="Y16" s="36" t="str">
        <f t="shared" si="10"/>
        <v/>
      </c>
      <c r="Z16" s="38"/>
      <c r="AA16" s="36" t="str">
        <f t="shared" si="11"/>
        <v/>
      </c>
      <c r="AB16" s="35"/>
      <c r="AC16" s="36" t="str">
        <f t="shared" si="12"/>
        <v/>
      </c>
      <c r="AD16" s="37"/>
      <c r="AE16" s="36" t="str">
        <f t="shared" si="13"/>
        <v/>
      </c>
      <c r="AF16" s="35"/>
      <c r="AG16" s="36" t="str">
        <f t="shared" si="16"/>
        <v/>
      </c>
      <c r="AH16" s="37"/>
      <c r="AI16" s="36" t="str">
        <f t="shared" ref="AI16:AI18" si="20">IF(AH16="DNF","DNF",IF(AH16&gt;0,AH$29/AH16*100,""))</f>
        <v/>
      </c>
      <c r="AJ16" s="38"/>
      <c r="AK16" s="160" t="str">
        <f t="shared" si="15"/>
        <v/>
      </c>
      <c r="AL16" s="207"/>
      <c r="AM16" s="36" t="str">
        <f t="shared" si="17"/>
        <v/>
      </c>
      <c r="AN16" s="7"/>
      <c r="AO16" s="211"/>
      <c r="AP16" s="241"/>
      <c r="AQ16" s="57"/>
      <c r="AR16" s="44"/>
      <c r="AS16" s="7"/>
      <c r="AT16" s="9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</row>
    <row r="17" spans="1:255" ht="12" customHeight="1">
      <c r="A17" s="23"/>
      <c r="B17" s="45"/>
      <c r="C17" s="46" t="str">
        <f t="shared" si="0"/>
        <v/>
      </c>
      <c r="D17" s="45"/>
      <c r="E17" s="46" t="str">
        <f t="shared" si="1"/>
        <v/>
      </c>
      <c r="F17" s="45"/>
      <c r="G17" s="46" t="str">
        <f t="shared" si="2"/>
        <v/>
      </c>
      <c r="H17" s="26"/>
      <c r="I17" s="46" t="str">
        <f t="shared" si="3"/>
        <v/>
      </c>
      <c r="J17" s="26"/>
      <c r="K17" s="46" t="str">
        <f t="shared" si="4"/>
        <v/>
      </c>
      <c r="L17" s="47"/>
      <c r="M17" s="46" t="str">
        <f t="shared" si="5"/>
        <v/>
      </c>
      <c r="N17" s="48"/>
      <c r="O17" s="46" t="str">
        <f t="shared" si="6"/>
        <v/>
      </c>
      <c r="P17" s="26"/>
      <c r="Q17" s="46" t="str">
        <f t="shared" si="7"/>
        <v/>
      </c>
      <c r="R17" s="51"/>
      <c r="S17" s="46"/>
      <c r="T17" s="26"/>
      <c r="U17" s="46" t="str">
        <f t="shared" si="8"/>
        <v/>
      </c>
      <c r="V17" s="48"/>
      <c r="W17" s="46" t="str">
        <f t="shared" si="9"/>
        <v/>
      </c>
      <c r="X17" s="26"/>
      <c r="Y17" s="46" t="str">
        <f t="shared" si="10"/>
        <v/>
      </c>
      <c r="Z17" s="47"/>
      <c r="AA17" s="46" t="str">
        <f t="shared" si="11"/>
        <v/>
      </c>
      <c r="AB17" s="45"/>
      <c r="AC17" s="46" t="str">
        <f t="shared" si="12"/>
        <v/>
      </c>
      <c r="AD17" s="26"/>
      <c r="AE17" s="46" t="str">
        <f t="shared" si="13"/>
        <v/>
      </c>
      <c r="AF17" s="45"/>
      <c r="AG17" s="46" t="str">
        <f t="shared" si="16"/>
        <v/>
      </c>
      <c r="AH17" s="26"/>
      <c r="AI17" s="46" t="str">
        <f t="shared" si="20"/>
        <v/>
      </c>
      <c r="AJ17" s="47"/>
      <c r="AK17" s="159" t="str">
        <f t="shared" si="15"/>
        <v/>
      </c>
      <c r="AL17" s="208"/>
      <c r="AM17" s="46" t="str">
        <f t="shared" si="17"/>
        <v/>
      </c>
      <c r="AN17" s="10"/>
      <c r="AO17" s="212"/>
      <c r="AP17" s="240"/>
      <c r="AQ17" s="213"/>
      <c r="AR17" s="32"/>
      <c r="AS17" s="10"/>
      <c r="AT17" s="33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</row>
    <row r="18" spans="1:255" ht="12" customHeight="1">
      <c r="A18" s="34"/>
      <c r="B18" s="35"/>
      <c r="C18" s="36" t="str">
        <f t="shared" si="0"/>
        <v/>
      </c>
      <c r="D18" s="35"/>
      <c r="E18" s="36" t="str">
        <f t="shared" si="1"/>
        <v/>
      </c>
      <c r="F18" s="35"/>
      <c r="G18" s="36" t="str">
        <f t="shared" si="2"/>
        <v/>
      </c>
      <c r="H18" s="37"/>
      <c r="I18" s="36" t="str">
        <f t="shared" si="3"/>
        <v/>
      </c>
      <c r="J18" s="37"/>
      <c r="K18" s="36" t="str">
        <f>IF(J18="DNF","DNF",IF(J18&gt;0,J$24/J18*100,""))</f>
        <v/>
      </c>
      <c r="L18" s="35"/>
      <c r="M18" s="36" t="str">
        <f t="shared" si="5"/>
        <v/>
      </c>
      <c r="N18" s="39"/>
      <c r="O18" s="36" t="str">
        <f t="shared" si="6"/>
        <v/>
      </c>
      <c r="P18" s="37"/>
      <c r="Q18" s="36" t="str">
        <f>IF(P18="DNF","DNF",IF(P18&gt;0,P$24/P18*100,""))</f>
        <v/>
      </c>
      <c r="R18" s="6"/>
      <c r="S18" s="36"/>
      <c r="T18" s="37"/>
      <c r="U18" s="36" t="str">
        <f t="shared" si="8"/>
        <v/>
      </c>
      <c r="V18" s="39"/>
      <c r="W18" s="36" t="str">
        <f t="shared" si="9"/>
        <v/>
      </c>
      <c r="X18" s="37"/>
      <c r="Y18" s="52" t="str">
        <f t="shared" si="10"/>
        <v/>
      </c>
      <c r="Z18" s="35"/>
      <c r="AA18" s="36" t="str">
        <f>IF(Z18="DNF","DNF",IF(Z18&gt;0,Z$24/Z18*100,""))</f>
        <v/>
      </c>
      <c r="AB18" s="35"/>
      <c r="AC18" s="36" t="str">
        <f t="shared" si="12"/>
        <v/>
      </c>
      <c r="AD18" s="37"/>
      <c r="AE18" s="36" t="str">
        <f t="shared" si="13"/>
        <v/>
      </c>
      <c r="AF18" s="35"/>
      <c r="AG18" s="36" t="str">
        <f t="shared" si="16"/>
        <v/>
      </c>
      <c r="AH18" s="37"/>
      <c r="AI18" s="36" t="str">
        <f t="shared" si="20"/>
        <v/>
      </c>
      <c r="AJ18" s="35"/>
      <c r="AK18" s="160" t="str">
        <f t="shared" si="15"/>
        <v/>
      </c>
      <c r="AL18" s="207"/>
      <c r="AM18" s="36" t="str">
        <f t="shared" si="17"/>
        <v/>
      </c>
      <c r="AN18" s="7"/>
      <c r="AO18" s="211"/>
      <c r="AP18" s="241"/>
      <c r="AQ18" s="57"/>
      <c r="AR18" s="44"/>
      <c r="AS18" s="7"/>
      <c r="AT18" s="9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</row>
    <row r="19" spans="1:255" ht="12" customHeight="1">
      <c r="A19" s="23"/>
      <c r="B19" s="45"/>
      <c r="C19" s="46"/>
      <c r="D19" s="45"/>
      <c r="E19" s="46"/>
      <c r="F19" s="45"/>
      <c r="G19" s="46"/>
      <c r="H19" s="26"/>
      <c r="I19" s="46"/>
      <c r="J19" s="26"/>
      <c r="K19" s="46"/>
      <c r="L19" s="47"/>
      <c r="M19" s="46"/>
      <c r="N19" s="48"/>
      <c r="O19" s="46"/>
      <c r="P19" s="26"/>
      <c r="Q19" s="46"/>
      <c r="R19" s="51"/>
      <c r="S19" s="46"/>
      <c r="T19" s="26"/>
      <c r="U19" s="46"/>
      <c r="V19" s="48"/>
      <c r="W19" s="46"/>
      <c r="X19" s="26"/>
      <c r="Y19" s="46"/>
      <c r="Z19" s="47"/>
      <c r="AA19" s="46"/>
      <c r="AB19" s="45"/>
      <c r="AC19" s="46"/>
      <c r="AD19" s="26"/>
      <c r="AE19" s="46"/>
      <c r="AF19" s="45"/>
      <c r="AG19" s="46"/>
      <c r="AH19" s="26"/>
      <c r="AI19" s="46"/>
      <c r="AJ19" s="47"/>
      <c r="AK19" s="159"/>
      <c r="AL19" s="208"/>
      <c r="AM19" s="46"/>
      <c r="AN19" s="10"/>
      <c r="AO19" s="212"/>
      <c r="AP19" s="240"/>
      <c r="AQ19" s="213"/>
      <c r="AR19" s="32"/>
      <c r="AS19" s="10"/>
      <c r="AT19" s="33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</row>
    <row r="20" spans="1:255" ht="12" customHeight="1">
      <c r="A20" s="34"/>
      <c r="B20" s="35"/>
      <c r="C20" s="36" t="str">
        <f t="shared" ref="C20:C22" si="21">IF(B20="DNF","DNF",IF(B20&gt;0,B$29/B20*100,""))</f>
        <v/>
      </c>
      <c r="D20" s="35"/>
      <c r="E20" s="36" t="str">
        <f t="shared" ref="E20:E22" si="22">IF(D20="DNF","DNF",IF(D20&gt;0,D$29/D20*100,""))</f>
        <v/>
      </c>
      <c r="F20" s="35"/>
      <c r="G20" s="36" t="str">
        <f t="shared" ref="G20:G22" si="23">IF(F20="DNF","DNF",IF(F20&gt;0,F$29/F20*100,""))</f>
        <v/>
      </c>
      <c r="H20" s="37"/>
      <c r="I20" s="36" t="str">
        <f t="shared" ref="I20:I22" si="24">IF(H20="DNF","DNF",IF(H20&gt;0,H$29/H20*100,""))</f>
        <v/>
      </c>
      <c r="J20" s="37"/>
      <c r="K20" s="36" t="str">
        <f t="shared" ref="K20:K22" si="25">IF(J20="DNF","DNF",IF(J20&gt;0,J$24/J20*100,""))</f>
        <v/>
      </c>
      <c r="L20" s="38"/>
      <c r="M20" s="36" t="str">
        <f t="shared" ref="M20:M22" si="26">IF(L20="DNF","DNF",IF(L20&gt;0,L$29/L20*100,""))</f>
        <v/>
      </c>
      <c r="N20" s="39"/>
      <c r="O20" s="36" t="str">
        <f t="shared" ref="O20:O22" si="27">IF(N20="DNF","DNF",IF(N20&lt;&gt;"",N20/N$29*100,""))</f>
        <v/>
      </c>
      <c r="P20" s="37"/>
      <c r="Q20" s="36" t="str">
        <f t="shared" ref="Q20:Q22" si="28">IF(P20="DNF","DNF",IF(P20&gt;0,P$24/P20*100,""))</f>
        <v/>
      </c>
      <c r="R20" s="6"/>
      <c r="S20" s="36"/>
      <c r="T20" s="37"/>
      <c r="U20" s="36" t="str">
        <f t="shared" ref="U20:U22" si="29">IF(T20="DNF","DNF",IF(T20&gt;0,T$29/T20*100,""))</f>
        <v/>
      </c>
      <c r="V20" s="39"/>
      <c r="W20" s="36" t="str">
        <f t="shared" ref="W20:W22" si="30">IF(V20="DNF","DNF",IF(V20&lt;&gt;"",V20/V$29*100,""))</f>
        <v/>
      </c>
      <c r="X20" s="37"/>
      <c r="Y20" s="36" t="str">
        <f t="shared" ref="Y20:Y22" si="31">IF(X20="DNF","DNF",IF(X20&gt;0,X$29/X20*100,""))</f>
        <v/>
      </c>
      <c r="Z20" s="38"/>
      <c r="AA20" s="36" t="str">
        <f t="shared" ref="AA20:AA22" si="32">IF(Z20="DNF","DNF",IF(Z20&gt;0,Z$24/Z20*100,""))</f>
        <v/>
      </c>
      <c r="AB20" s="35"/>
      <c r="AC20" s="36" t="str">
        <f t="shared" ref="AC20:AC22" si="33">IF(AB20="DNF","DNF",IF(AB20&gt;0,AB$29/AB20*100,""))</f>
        <v/>
      </c>
      <c r="AD20" s="37"/>
      <c r="AE20" s="36" t="str">
        <f t="shared" ref="AE20:AE22" si="34">IF(AD20="DNF","DNF",IF(AD20&gt;0,AD$29/AD20*100,""))</f>
        <v/>
      </c>
      <c r="AF20" s="35"/>
      <c r="AG20" s="36" t="str">
        <f t="shared" ref="AG20:AG22" si="35">IF(AF20="DNF","DNF",IF(AF20&gt;0,AF$29/AF20*100,""))</f>
        <v/>
      </c>
      <c r="AH20" s="37"/>
      <c r="AI20" s="36" t="str">
        <f t="shared" ref="AI20:AI22" si="36">IF(AH20="DNF","DNF",IF(AH20&gt;0,AH$29/AH20*100,""))</f>
        <v/>
      </c>
      <c r="AJ20" s="38"/>
      <c r="AK20" s="160" t="str">
        <f t="shared" ref="AK20:AK22" si="37">IF(AJ20="DNF","DNF",IF(AJ20&gt;0,AJ$29/AJ20*100,""))</f>
        <v/>
      </c>
      <c r="AL20" s="207"/>
      <c r="AM20" s="36" t="str">
        <f t="shared" ref="AM20:AM22" si="38">IF(AL20="DNF","DNF",IF(AL20&gt;0,AL$29/AL20*100,""))</f>
        <v/>
      </c>
      <c r="AN20" s="7"/>
      <c r="AO20" s="211"/>
      <c r="AP20" s="241"/>
      <c r="AQ20" s="57"/>
      <c r="AR20" s="44"/>
      <c r="AS20" s="7"/>
      <c r="AT20" s="9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</row>
    <row r="21" spans="1:255" ht="12" customHeight="1">
      <c r="A21" s="23"/>
      <c r="B21" s="47"/>
      <c r="C21" s="46" t="str">
        <f t="shared" si="21"/>
        <v/>
      </c>
      <c r="D21" s="47"/>
      <c r="E21" s="46" t="str">
        <f t="shared" si="22"/>
        <v/>
      </c>
      <c r="F21" s="47"/>
      <c r="G21" s="46" t="str">
        <f t="shared" si="23"/>
        <v/>
      </c>
      <c r="H21" s="26"/>
      <c r="I21" s="46" t="str">
        <f t="shared" si="24"/>
        <v/>
      </c>
      <c r="J21" s="26"/>
      <c r="K21" s="46" t="str">
        <f t="shared" si="25"/>
        <v/>
      </c>
      <c r="L21" s="47"/>
      <c r="M21" s="46" t="str">
        <f t="shared" si="26"/>
        <v/>
      </c>
      <c r="N21" s="48"/>
      <c r="O21" s="46" t="str">
        <f t="shared" si="27"/>
        <v/>
      </c>
      <c r="P21" s="26"/>
      <c r="Q21" s="46" t="str">
        <f t="shared" si="28"/>
        <v/>
      </c>
      <c r="R21" s="51"/>
      <c r="S21" s="46"/>
      <c r="T21" s="26"/>
      <c r="U21" s="46" t="str">
        <f t="shared" si="29"/>
        <v/>
      </c>
      <c r="V21" s="53"/>
      <c r="W21" s="46" t="str">
        <f t="shared" si="30"/>
        <v/>
      </c>
      <c r="X21" s="26"/>
      <c r="Y21" s="46" t="str">
        <f t="shared" si="31"/>
        <v/>
      </c>
      <c r="Z21" s="47"/>
      <c r="AA21" s="46" t="str">
        <f t="shared" si="32"/>
        <v/>
      </c>
      <c r="AB21" s="47"/>
      <c r="AC21" s="46" t="str">
        <f t="shared" si="33"/>
        <v/>
      </c>
      <c r="AD21" s="26"/>
      <c r="AE21" s="46" t="str">
        <f t="shared" si="34"/>
        <v/>
      </c>
      <c r="AF21" s="47"/>
      <c r="AG21" s="46" t="str">
        <f t="shared" si="35"/>
        <v/>
      </c>
      <c r="AH21" s="26"/>
      <c r="AI21" s="46" t="str">
        <f t="shared" si="36"/>
        <v/>
      </c>
      <c r="AJ21" s="47"/>
      <c r="AK21" s="159" t="str">
        <f t="shared" si="37"/>
        <v/>
      </c>
      <c r="AL21" s="208"/>
      <c r="AM21" s="46" t="str">
        <f t="shared" si="38"/>
        <v/>
      </c>
      <c r="AN21" s="10"/>
      <c r="AO21" s="212"/>
      <c r="AP21" s="240"/>
      <c r="AQ21" s="213"/>
      <c r="AR21" s="32"/>
      <c r="AS21" s="10"/>
      <c r="AT21" s="33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</row>
    <row r="22" spans="1:255" ht="12" customHeight="1">
      <c r="A22" s="34"/>
      <c r="B22" s="35"/>
      <c r="C22" s="36" t="str">
        <f t="shared" si="21"/>
        <v/>
      </c>
      <c r="D22" s="35"/>
      <c r="E22" s="36" t="str">
        <f t="shared" si="22"/>
        <v/>
      </c>
      <c r="F22" s="35"/>
      <c r="G22" s="36" t="str">
        <f t="shared" si="23"/>
        <v/>
      </c>
      <c r="H22" s="37"/>
      <c r="I22" s="36" t="str">
        <f t="shared" si="24"/>
        <v/>
      </c>
      <c r="J22" s="37"/>
      <c r="K22" s="36" t="str">
        <f t="shared" si="25"/>
        <v/>
      </c>
      <c r="L22" s="38"/>
      <c r="M22" s="36" t="str">
        <f t="shared" si="26"/>
        <v/>
      </c>
      <c r="N22" s="39"/>
      <c r="O22" s="36" t="str">
        <f t="shared" si="27"/>
        <v/>
      </c>
      <c r="P22" s="37"/>
      <c r="Q22" s="36" t="str">
        <f t="shared" si="28"/>
        <v/>
      </c>
      <c r="R22" s="6"/>
      <c r="S22" s="36"/>
      <c r="T22" s="37"/>
      <c r="U22" s="36" t="str">
        <f t="shared" si="29"/>
        <v/>
      </c>
      <c r="V22" s="39"/>
      <c r="W22" s="36" t="str">
        <f t="shared" si="30"/>
        <v/>
      </c>
      <c r="X22" s="37"/>
      <c r="Y22" s="36" t="str">
        <f t="shared" si="31"/>
        <v/>
      </c>
      <c r="Z22" s="38"/>
      <c r="AA22" s="36" t="str">
        <f t="shared" si="32"/>
        <v/>
      </c>
      <c r="AB22" s="35"/>
      <c r="AC22" s="36" t="str">
        <f t="shared" si="33"/>
        <v/>
      </c>
      <c r="AD22" s="37"/>
      <c r="AE22" s="36" t="str">
        <f t="shared" si="34"/>
        <v/>
      </c>
      <c r="AF22" s="35"/>
      <c r="AG22" s="36" t="str">
        <f t="shared" si="35"/>
        <v/>
      </c>
      <c r="AH22" s="37"/>
      <c r="AI22" s="36" t="str">
        <f t="shared" si="36"/>
        <v/>
      </c>
      <c r="AJ22" s="38"/>
      <c r="AK22" s="160" t="str">
        <f t="shared" si="37"/>
        <v/>
      </c>
      <c r="AL22" s="207"/>
      <c r="AM22" s="36" t="str">
        <f t="shared" si="38"/>
        <v/>
      </c>
      <c r="AN22" s="7"/>
      <c r="AO22" s="211"/>
      <c r="AP22" s="241"/>
      <c r="AQ22" s="57"/>
      <c r="AR22" s="44"/>
      <c r="AS22" s="7"/>
      <c r="AT22" s="9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</row>
    <row r="23" spans="1:255" ht="12" customHeight="1">
      <c r="A23" s="23"/>
      <c r="B23" s="45"/>
      <c r="C23" s="46"/>
      <c r="D23" s="45"/>
      <c r="E23" s="46"/>
      <c r="F23" s="45"/>
      <c r="G23" s="46"/>
      <c r="H23" s="26"/>
      <c r="I23" s="46"/>
      <c r="J23" s="47"/>
      <c r="K23" s="46"/>
      <c r="L23" s="47"/>
      <c r="M23" s="46"/>
      <c r="N23" s="48"/>
      <c r="O23" s="46"/>
      <c r="P23" s="26"/>
      <c r="Q23" s="46"/>
      <c r="R23" s="51"/>
      <c r="S23" s="46"/>
      <c r="T23" s="26"/>
      <c r="U23" s="46"/>
      <c r="V23" s="48"/>
      <c r="W23" s="46"/>
      <c r="X23" s="26"/>
      <c r="Y23" s="46"/>
      <c r="Z23" s="47"/>
      <c r="AA23" s="46"/>
      <c r="AB23" s="45"/>
      <c r="AC23" s="46"/>
      <c r="AD23" s="26"/>
      <c r="AE23" s="46"/>
      <c r="AF23" s="26"/>
      <c r="AG23" s="46"/>
      <c r="AH23" s="26"/>
      <c r="AI23" s="46"/>
      <c r="AJ23" s="47"/>
      <c r="AK23" s="159"/>
      <c r="AL23" s="208"/>
      <c r="AM23" s="46"/>
      <c r="AN23" s="10"/>
      <c r="AO23" s="233" t="s">
        <v>67</v>
      </c>
      <c r="AP23" s="240"/>
      <c r="AQ23" s="213"/>
      <c r="AR23" s="54"/>
      <c r="AS23" s="10"/>
      <c r="AT23" s="33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</row>
    <row r="24" spans="1:255" ht="12" customHeight="1">
      <c r="A24" s="12"/>
      <c r="B24" s="15"/>
      <c r="C24" s="55" t="str">
        <f t="shared" ref="C24:C26" si="39">IF(B24="DNF","DNF",IF(B24&gt;0,B$29/B24*100,""))</f>
        <v/>
      </c>
      <c r="D24" s="15"/>
      <c r="E24" s="55" t="str">
        <f t="shared" ref="E24:E27" si="40">IF(D24="DNF","DNF",IF(D24&gt;0,D$29/D24*100,""))</f>
        <v/>
      </c>
      <c r="F24" s="15"/>
      <c r="G24" s="55" t="str">
        <f t="shared" ref="G24:G27" si="41">IF(F24="DNF","DNF",IF(F24&gt;0,F$29/F24*100,""))</f>
        <v/>
      </c>
      <c r="H24" s="15"/>
      <c r="I24" s="55" t="str">
        <f t="shared" ref="I24:I27" si="42">IF(H24="DNF","DNF",IF(H24&gt;0,H$29/H24*100,""))</f>
        <v/>
      </c>
      <c r="J24" s="56"/>
      <c r="K24" s="55" t="str">
        <f t="shared" ref="K24:K27" si="43">IF(J24="DNF","DNF",IF(J24&gt;0,J$29/J24*100,""))</f>
        <v/>
      </c>
      <c r="L24" s="56"/>
      <c r="M24" s="55" t="str">
        <f t="shared" ref="M24:M27" si="44">IF(L24="DNF","DNF",IF(L24&gt;0,L$29/L24*100,""))</f>
        <v/>
      </c>
      <c r="N24" s="16"/>
      <c r="O24" s="55" t="str">
        <f t="shared" ref="O24:O27" si="45">IF(N24="DNF","DNF",IF(N24&lt;&gt;"",N24/N$29*100,""))</f>
        <v/>
      </c>
      <c r="P24" s="15"/>
      <c r="Q24" s="55" t="str">
        <f t="shared" ref="Q24:Q27" si="46">IF(P24="DNF","DNF",IF(P24&gt;0,P$29/P24*100,""))</f>
        <v/>
      </c>
      <c r="R24" s="162"/>
      <c r="S24" s="163"/>
      <c r="T24" s="15"/>
      <c r="U24" s="55" t="str">
        <f t="shared" ref="U24:U27" si="47">IF(T24="DNF","DNF",IF(T24&gt;0,T$29/T24*100,""))</f>
        <v/>
      </c>
      <c r="V24" s="16"/>
      <c r="W24" s="55" t="str">
        <f t="shared" ref="W24:W27" si="48">IF(V24="DNF","DNF",IF(V24&lt;&gt;"",V24/V$29*100,""))</f>
        <v/>
      </c>
      <c r="X24" s="15"/>
      <c r="Y24" s="55" t="str">
        <f t="shared" ref="Y24:Y27" si="49">IF(X24="DNF","DNF",IF(X24&gt;0,X$29/X24*100,""))</f>
        <v/>
      </c>
      <c r="Z24" s="56"/>
      <c r="AA24" s="55"/>
      <c r="AB24" s="15"/>
      <c r="AC24" s="55" t="str">
        <f t="shared" ref="AC24:AC27" si="50">IF(AB24="DNF","DNF",IF(AB24&gt;0,AB$29/AB24*100,""))</f>
        <v/>
      </c>
      <c r="AD24" s="56"/>
      <c r="AE24" s="55" t="str">
        <f t="shared" ref="AE24:AE27" si="51">IF(AD24="DNF","DNF",IF(AD24&gt;0,AD$29/AD24*100,""))</f>
        <v/>
      </c>
      <c r="AF24" s="15"/>
      <c r="AG24" s="55" t="str">
        <f t="shared" ref="AG24:AG27" si="52">IF(AF24="DNF","DNF",IF(AF24&gt;0,AF$29/AF24*100,""))</f>
        <v/>
      </c>
      <c r="AH24" s="56"/>
      <c r="AI24" s="55" t="str">
        <f t="shared" ref="AI24:AI27" si="53">IF(AH24="DNF","DNF",IF(AH24&gt;0,AH$29/AH24*100,""))</f>
        <v/>
      </c>
      <c r="AJ24" s="56"/>
      <c r="AK24" s="204" t="str">
        <f t="shared" ref="AK24:AK27" si="54">IF(AJ24="DNF","DNF",IF(AJ24&gt;0,AJ$29/AJ24*100,""))</f>
        <v/>
      </c>
      <c r="AL24" s="207"/>
      <c r="AM24" s="55" t="str">
        <f t="shared" ref="AM24:AM28" si="55">IF(AL24="DNF","DNF",IF(AL24&gt;0,AL$29/AL24*100,""))</f>
        <v/>
      </c>
      <c r="AN24" s="7"/>
      <c r="AO24" s="238"/>
      <c r="AP24" s="242"/>
      <c r="AQ24" s="239"/>
      <c r="AR24" s="58"/>
      <c r="AS24" s="7"/>
      <c r="AT24" s="9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</row>
    <row r="25" spans="1:255" ht="12" customHeight="1">
      <c r="A25" s="137" t="s">
        <v>63</v>
      </c>
      <c r="B25" s="45">
        <v>2.3283564814814816E-3</v>
      </c>
      <c r="C25" s="46">
        <f>IF(B25="DNF","DNF",IF(B25&gt;0,B$29/B25*100,""))</f>
        <v>92.474026942387027</v>
      </c>
      <c r="D25" s="45">
        <v>1.7912037037037037E-3</v>
      </c>
      <c r="E25" s="46">
        <f t="shared" si="40"/>
        <v>98.565520806409936</v>
      </c>
      <c r="F25" s="45">
        <v>2.169560185185185E-3</v>
      </c>
      <c r="G25" s="46">
        <f t="shared" si="41"/>
        <v>91.405708188850369</v>
      </c>
      <c r="H25" s="26">
        <v>7.6349537037037037E-3</v>
      </c>
      <c r="I25" s="46">
        <f t="shared" si="42"/>
        <v>21.894612376072526</v>
      </c>
      <c r="J25" s="26">
        <v>1.4789351851851853E-3</v>
      </c>
      <c r="K25" s="46">
        <f t="shared" si="43"/>
        <v>55.051651275629986</v>
      </c>
      <c r="L25" s="47">
        <v>7.8985532407407407E-3</v>
      </c>
      <c r="M25" s="46">
        <f t="shared" si="44"/>
        <v>62.539289456138683</v>
      </c>
      <c r="N25" s="48">
        <v>0</v>
      </c>
      <c r="O25" s="46">
        <f t="shared" si="45"/>
        <v>0</v>
      </c>
      <c r="P25" s="26">
        <v>2.8333333333333335E-4</v>
      </c>
      <c r="Q25" s="159">
        <f t="shared" si="46"/>
        <v>61.928104575163388</v>
      </c>
      <c r="R25" s="165">
        <f>Birling!B19</f>
        <v>20.69</v>
      </c>
      <c r="S25" s="167">
        <f>Birling!C19</f>
        <v>6.3821091189512238</v>
      </c>
      <c r="T25" s="26">
        <v>7.4594907407407411E-4</v>
      </c>
      <c r="U25" s="46">
        <f t="shared" si="47"/>
        <v>111.93173002327383</v>
      </c>
      <c r="V25" s="48">
        <v>0</v>
      </c>
      <c r="W25" s="46">
        <f t="shared" si="48"/>
        <v>0</v>
      </c>
      <c r="X25" s="26">
        <v>5.3254629629629633E-3</v>
      </c>
      <c r="Y25" s="46">
        <f t="shared" si="49"/>
        <v>8.1087542380248632</v>
      </c>
      <c r="Z25" s="47">
        <v>7.1111111111111115E-4</v>
      </c>
      <c r="AA25" s="46">
        <f t="shared" ref="AA25:AA27" si="56">IF(Z25="DNF","DNF",IF(Z25&gt;0,Z$29/Z25*100,""))</f>
        <v>72.0458984375</v>
      </c>
      <c r="AB25" s="45">
        <v>1.3075231481481482E-3</v>
      </c>
      <c r="AC25" s="46">
        <f t="shared" si="50"/>
        <v>33.097282464371077</v>
      </c>
      <c r="AD25" s="26">
        <v>1.247222222222222E-3</v>
      </c>
      <c r="AE25" s="46">
        <f t="shared" si="51"/>
        <v>51.1785449146251</v>
      </c>
      <c r="AF25" s="45">
        <v>5.7839120370370379E-3</v>
      </c>
      <c r="AG25" s="46">
        <f t="shared" si="52"/>
        <v>11.58825765913593</v>
      </c>
      <c r="AH25" s="26">
        <v>2.6152777777777776E-3</v>
      </c>
      <c r="AI25" s="46">
        <f t="shared" si="53"/>
        <v>67.162329615861211</v>
      </c>
      <c r="AJ25" s="47">
        <v>1.1377314814814815E-4</v>
      </c>
      <c r="AK25" s="159">
        <f t="shared" si="54"/>
        <v>62.054933875890129</v>
      </c>
      <c r="AL25" s="206">
        <v>7.9270833333333331E-4</v>
      </c>
      <c r="AM25" s="46">
        <f t="shared" si="55"/>
        <v>45.291283399036359</v>
      </c>
      <c r="AN25" s="10"/>
      <c r="AO25" s="235" t="str">
        <f>A25</f>
        <v>Dartmouth Alum</v>
      </c>
      <c r="AP25" s="243">
        <f>SUM(C25,E25,G25,I25,K25,AI25,O25,Q25,U25,Y25,S25,,W25,AC25,AG25,AK25,AA25,AE25,M25, AM25)</f>
        <v>952.70003736732178</v>
      </c>
      <c r="AQ25" s="237">
        <f>RANK(AP25,AP25:AP28,0)</f>
        <v>3</v>
      </c>
      <c r="AR25" s="32">
        <v>1</v>
      </c>
      <c r="AS25" s="10" t="str">
        <f>INDEX($AO$25:AO27,MATCH(AR3,$AQ$25:$AQ$27,0))</f>
        <v>FLCC Alum</v>
      </c>
      <c r="AT25" s="33">
        <f>INDEX($AP$25:$AP$27,MATCH(AS25,$AO$25:$AO$27,0))</f>
        <v>1258.6694813058884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</row>
    <row r="26" spans="1:255" ht="12" customHeight="1">
      <c r="A26" s="136" t="s">
        <v>57</v>
      </c>
      <c r="B26" s="35">
        <v>2.5218750000000002E-3</v>
      </c>
      <c r="C26" s="36">
        <f t="shared" si="39"/>
        <v>85.37794299876083</v>
      </c>
      <c r="D26" s="35">
        <v>1.9010416666666665E-3</v>
      </c>
      <c r="E26" s="36">
        <f t="shared" si="40"/>
        <v>92.870624048706247</v>
      </c>
      <c r="F26" s="35">
        <v>2.3754629629629629E-3</v>
      </c>
      <c r="G26" s="36">
        <f t="shared" si="41"/>
        <v>83.482751900214382</v>
      </c>
      <c r="H26" s="37">
        <v>3.8791666666666666E-3</v>
      </c>
      <c r="I26" s="36">
        <f t="shared" si="42"/>
        <v>43.092851175557954</v>
      </c>
      <c r="J26" s="37">
        <v>1.3541666666666667E-3</v>
      </c>
      <c r="K26" s="36">
        <f t="shared" si="43"/>
        <v>60.123931623931625</v>
      </c>
      <c r="L26" s="38">
        <v>6.2814814814814816E-3</v>
      </c>
      <c r="M26" s="36">
        <f t="shared" si="44"/>
        <v>78.639077240566039</v>
      </c>
      <c r="N26" s="39">
        <v>16</v>
      </c>
      <c r="O26" s="36">
        <f t="shared" si="45"/>
        <v>59.259259259259252</v>
      </c>
      <c r="P26" s="37">
        <v>3.6400462962962965E-4</v>
      </c>
      <c r="Q26" s="160">
        <f t="shared" si="46"/>
        <v>48.203497615262322</v>
      </c>
      <c r="R26" s="166">
        <f>Birling!B20</f>
        <v>3.21</v>
      </c>
      <c r="S26" s="168">
        <f>Birling!C20</f>
        <v>0.99016772700983213</v>
      </c>
      <c r="T26" s="37"/>
      <c r="U26" s="36" t="str">
        <f t="shared" si="47"/>
        <v/>
      </c>
      <c r="V26" s="39">
        <v>0</v>
      </c>
      <c r="W26" s="36">
        <f t="shared" si="48"/>
        <v>0</v>
      </c>
      <c r="X26" s="37">
        <v>6.5254629629629636E-4</v>
      </c>
      <c r="Y26" s="36">
        <f t="shared" si="49"/>
        <v>66.175948918056051</v>
      </c>
      <c r="Z26" s="38">
        <v>4.8159722222222224E-4</v>
      </c>
      <c r="AA26" s="36">
        <f t="shared" si="56"/>
        <v>106.3806777217015</v>
      </c>
      <c r="AB26" s="35">
        <v>1.041550925925926E-3</v>
      </c>
      <c r="AC26" s="36">
        <f t="shared" si="50"/>
        <v>41.54906100677853</v>
      </c>
      <c r="AD26" s="37">
        <v>1.2702546296296296E-3</v>
      </c>
      <c r="AE26" s="36">
        <f t="shared" si="51"/>
        <v>50.250569476082006</v>
      </c>
      <c r="AF26" s="35">
        <v>4.185185185185185E-3</v>
      </c>
      <c r="AG26" s="36">
        <f t="shared" si="52"/>
        <v>16.014933628318584</v>
      </c>
      <c r="AH26" s="37">
        <v>2.9839120370370371E-3</v>
      </c>
      <c r="AI26" s="36">
        <f t="shared" si="53"/>
        <v>58.865055661145796</v>
      </c>
      <c r="AJ26" s="38">
        <v>7.2569444444444439E-5</v>
      </c>
      <c r="AK26" s="160">
        <f t="shared" si="54"/>
        <v>97.288676236044651</v>
      </c>
      <c r="AL26" s="207">
        <v>7.5347222222222222E-4</v>
      </c>
      <c r="AM26" s="36">
        <f t="shared" si="55"/>
        <v>47.649769585253452</v>
      </c>
      <c r="AN26" s="7"/>
      <c r="AO26" s="234" t="str">
        <f>A26</f>
        <v>Colby Alum</v>
      </c>
      <c r="AP26" s="243">
        <f t="shared" ref="AP26:AP27" si="57">SUM(C26,E26,G26,I26,K26,AI26,O26,Q26,U26,Y26,S26,,W26,AC26,AG26,AK26,AA26,AE26,M26, AM26)</f>
        <v>1036.214795822649</v>
      </c>
      <c r="AQ26" s="236">
        <f t="shared" ref="AQ26:AQ27" si="58">RANK(AP26,AP26:AP29,0)</f>
        <v>2</v>
      </c>
      <c r="AR26" s="246">
        <v>2</v>
      </c>
      <c r="AS26" s="269" t="str">
        <f>INDEX($AO$25:AO28,MATCH(AR4,$AQ$25:$AQ$27,0))</f>
        <v>Colby Alum</v>
      </c>
      <c r="AT26" s="270">
        <f t="shared" ref="AT26:AT27" si="59">INDEX($AP$25:$AP$27,MATCH(AS26,$AO$25:$AO$27,0))</f>
        <v>1036.214795822649</v>
      </c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</row>
    <row r="27" spans="1:255" s="150" customFormat="1" ht="12" customHeight="1">
      <c r="A27" s="141" t="s">
        <v>58</v>
      </c>
      <c r="B27" s="142">
        <v>2.8851851851851851E-3</v>
      </c>
      <c r="C27" s="143">
        <f>IF(B27="DNF","DNF",IF(B27&gt;0,B$29/B27*100,""))</f>
        <v>74.626925545571254</v>
      </c>
      <c r="D27" s="142">
        <v>3.1995370370370368E-3</v>
      </c>
      <c r="E27" s="143">
        <f t="shared" si="40"/>
        <v>55.18014759079729</v>
      </c>
      <c r="F27" s="142">
        <v>2.5547453703703704E-3</v>
      </c>
      <c r="G27" s="143">
        <f t="shared" si="41"/>
        <v>77.62424681737869</v>
      </c>
      <c r="H27" s="144">
        <v>3.6909722222222222E-3</v>
      </c>
      <c r="I27" s="143">
        <f t="shared" si="42"/>
        <v>45.290059579805586</v>
      </c>
      <c r="J27" s="144">
        <v>9.7546296296296302E-4</v>
      </c>
      <c r="K27" s="143">
        <f t="shared" si="43"/>
        <v>83.465828191741807</v>
      </c>
      <c r="L27" s="145">
        <v>5.4695601851851849E-3</v>
      </c>
      <c r="M27" s="143">
        <f t="shared" si="44"/>
        <v>90.3125462894386</v>
      </c>
      <c r="N27" s="146">
        <v>9</v>
      </c>
      <c r="O27" s="143">
        <f t="shared" si="45"/>
        <v>33.333333333333329</v>
      </c>
      <c r="P27" s="144">
        <v>2.6215277777777776E-4</v>
      </c>
      <c r="Q27" s="161">
        <f t="shared" si="46"/>
        <v>66.931567328918334</v>
      </c>
      <c r="R27" s="164">
        <f>Birling!B21</f>
        <v>3.53</v>
      </c>
      <c r="S27" s="169">
        <f>Birling!C21</f>
        <v>1.0888760362444572</v>
      </c>
      <c r="T27" s="144">
        <v>2.2113425925925924E-3</v>
      </c>
      <c r="U27" s="143">
        <f t="shared" si="47"/>
        <v>37.757772427509686</v>
      </c>
      <c r="V27" s="146">
        <v>20</v>
      </c>
      <c r="W27" s="143">
        <f t="shared" si="48"/>
        <v>83.333333333333343</v>
      </c>
      <c r="X27" s="144">
        <v>7.8009259259259253E-4</v>
      </c>
      <c r="Y27" s="143">
        <f t="shared" si="49"/>
        <v>55.356083086053417</v>
      </c>
      <c r="Z27" s="147">
        <v>5.6278935185185186E-4</v>
      </c>
      <c r="AA27" s="143">
        <f t="shared" si="56"/>
        <v>91.033419023136247</v>
      </c>
      <c r="AB27" s="142">
        <v>5.1608796296296309E-4</v>
      </c>
      <c r="AC27" s="143">
        <f t="shared" si="50"/>
        <v>83.852881812065476</v>
      </c>
      <c r="AD27" s="144">
        <v>7.7013888888888889E-4</v>
      </c>
      <c r="AE27" s="143">
        <f t="shared" si="51"/>
        <v>82.882476705740913</v>
      </c>
      <c r="AF27" s="142">
        <v>7.6082175925925926E-4</v>
      </c>
      <c r="AG27" s="143">
        <f t="shared" si="52"/>
        <v>88.096143606906509</v>
      </c>
      <c r="AH27" s="144">
        <v>2.7008680555555557E-3</v>
      </c>
      <c r="AI27" s="143">
        <f t="shared" si="53"/>
        <v>65.033961132180579</v>
      </c>
      <c r="AJ27" s="145">
        <v>1.0254629629629629E-4</v>
      </c>
      <c r="AK27" s="161">
        <f t="shared" si="54"/>
        <v>68.848758465011286</v>
      </c>
      <c r="AL27" s="209">
        <v>4.8113425925925922E-4</v>
      </c>
      <c r="AM27" s="143">
        <f t="shared" si="55"/>
        <v>74.621121000721686</v>
      </c>
      <c r="AN27" s="148"/>
      <c r="AO27" s="235" t="str">
        <f>A27</f>
        <v>FLCC Alum</v>
      </c>
      <c r="AP27" s="243">
        <f t="shared" si="57"/>
        <v>1258.6694813058884</v>
      </c>
      <c r="AQ27" s="237">
        <f t="shared" si="58"/>
        <v>1</v>
      </c>
      <c r="AR27" s="268">
        <v>3</v>
      </c>
      <c r="AS27" s="10" t="str">
        <f>INDEX($AO$25:AO29,MATCH(AR5,$AQ$25:$AQ$27,0))</f>
        <v>Dartmouth Alum</v>
      </c>
      <c r="AT27" s="33">
        <f t="shared" si="59"/>
        <v>952.70003736732178</v>
      </c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8"/>
      <c r="EL27" s="148"/>
      <c r="EM27" s="148"/>
      <c r="EN27" s="148"/>
      <c r="EO27" s="148"/>
      <c r="EP27" s="148"/>
      <c r="EQ27" s="148"/>
      <c r="ER27" s="148"/>
      <c r="ES27" s="148"/>
      <c r="ET27" s="148"/>
      <c r="EU27" s="148"/>
      <c r="EV27" s="148"/>
      <c r="EW27" s="148"/>
      <c r="EX27" s="148"/>
      <c r="EY27" s="148"/>
      <c r="EZ27" s="148"/>
      <c r="FA27" s="148"/>
      <c r="FB27" s="148"/>
      <c r="FC27" s="148"/>
      <c r="FD27" s="148"/>
      <c r="FE27" s="148"/>
      <c r="FF27" s="148"/>
      <c r="FG27" s="148"/>
      <c r="FH27" s="148"/>
      <c r="FI27" s="148"/>
      <c r="FJ27" s="148"/>
      <c r="FK27" s="148"/>
      <c r="FL27" s="148"/>
      <c r="FM27" s="148"/>
      <c r="FN27" s="148"/>
      <c r="FO27" s="148"/>
      <c r="FP27" s="148"/>
      <c r="FQ27" s="148"/>
      <c r="FR27" s="148"/>
      <c r="FS27" s="148"/>
      <c r="FT27" s="148"/>
      <c r="FU27" s="148"/>
      <c r="FV27" s="148"/>
      <c r="FW27" s="148"/>
      <c r="FX27" s="148"/>
      <c r="FY27" s="148"/>
      <c r="FZ27" s="148"/>
      <c r="GA27" s="148"/>
      <c r="GB27" s="148"/>
      <c r="GC27" s="148"/>
      <c r="GD27" s="148"/>
      <c r="GE27" s="148"/>
      <c r="GF27" s="148"/>
      <c r="GG27" s="148"/>
      <c r="GH27" s="148"/>
      <c r="GI27" s="148"/>
      <c r="GJ27" s="148"/>
      <c r="GK27" s="148"/>
      <c r="GL27" s="148"/>
      <c r="GM27" s="148"/>
      <c r="GN27" s="148"/>
      <c r="GO27" s="148"/>
      <c r="GP27" s="148"/>
      <c r="GQ27" s="148"/>
      <c r="GR27" s="148"/>
      <c r="GS27" s="148"/>
      <c r="GT27" s="148"/>
      <c r="GU27" s="148"/>
      <c r="GV27" s="148"/>
      <c r="GW27" s="148"/>
      <c r="GX27" s="148"/>
      <c r="GY27" s="148"/>
      <c r="GZ27" s="148"/>
      <c r="HA27" s="148"/>
      <c r="HB27" s="148"/>
      <c r="HC27" s="148"/>
      <c r="HD27" s="148"/>
      <c r="HE27" s="148"/>
      <c r="HF27" s="148"/>
      <c r="HG27" s="148"/>
      <c r="HH27" s="148"/>
      <c r="HI27" s="148"/>
      <c r="HJ27" s="148"/>
      <c r="HK27" s="148"/>
      <c r="HL27" s="148"/>
      <c r="HM27" s="148"/>
      <c r="HN27" s="148"/>
      <c r="HO27" s="148"/>
      <c r="HP27" s="148"/>
      <c r="HQ27" s="148"/>
      <c r="HR27" s="148"/>
      <c r="HS27" s="148"/>
      <c r="HT27" s="148"/>
      <c r="HU27" s="148"/>
      <c r="HV27" s="148"/>
      <c r="HW27" s="148"/>
      <c r="HX27" s="148"/>
      <c r="HY27" s="148"/>
      <c r="HZ27" s="148"/>
      <c r="IA27" s="148"/>
      <c r="IB27" s="148"/>
      <c r="IC27" s="148"/>
      <c r="ID27" s="148"/>
      <c r="IE27" s="148"/>
      <c r="IF27" s="148"/>
      <c r="IG27" s="148"/>
      <c r="IH27" s="148"/>
      <c r="II27" s="148"/>
      <c r="IJ27" s="148"/>
      <c r="IK27" s="148"/>
      <c r="IL27" s="148"/>
      <c r="IM27" s="148"/>
      <c r="IN27" s="148"/>
      <c r="IO27" s="148"/>
      <c r="IP27" s="148"/>
      <c r="IQ27" s="148"/>
      <c r="IR27" s="148"/>
      <c r="IS27" s="148"/>
      <c r="IT27" s="148"/>
      <c r="IU27" s="148"/>
    </row>
    <row r="28" spans="1:255" ht="12" customHeight="1" thickBot="1">
      <c r="A28" s="60"/>
      <c r="B28" s="35"/>
      <c r="C28" s="36" t="str">
        <f>IF(B28="DNF","DNF",IF(B28&gt;0,B$29/B28*100,""))</f>
        <v/>
      </c>
      <c r="D28" s="35"/>
      <c r="E28" s="36" t="str">
        <f>IF(D28="DNF","DNF",IF(D28&gt;0,D$29/D28*100,""))</f>
        <v/>
      </c>
      <c r="F28" s="35"/>
      <c r="G28" s="36" t="str">
        <f>IF(F28="DNF","DNF",IF(F28&gt;0,F$29/F28*100,""))</f>
        <v/>
      </c>
      <c r="H28" s="35"/>
      <c r="I28" s="36" t="str">
        <f>IF(H28="DNF","DNF",IF(H28&gt;0,H$29/H28*100,""))</f>
        <v/>
      </c>
      <c r="J28" s="35"/>
      <c r="K28" s="36" t="str">
        <f>IF(J28="DNF","DNF",IF(J28&gt;0,J$29/J28*100,""))</f>
        <v/>
      </c>
      <c r="L28" s="38"/>
      <c r="M28" s="36" t="str">
        <f>IF(L28="DNF","DNF",IF(L28&gt;0,L$29/L28*100,""))</f>
        <v/>
      </c>
      <c r="N28" s="39"/>
      <c r="O28" s="36" t="str">
        <f>IF(N28="DNF","DNF",IF(N28&lt;&gt;"",N28/N$29*100,""))</f>
        <v/>
      </c>
      <c r="P28" s="35"/>
      <c r="Q28" s="36"/>
      <c r="R28" s="6"/>
      <c r="S28" s="36" t="str">
        <f>IF(R28="DNF","DNF",IF(R28&gt;0,R$29/R28*100,""))</f>
        <v/>
      </c>
      <c r="T28" s="35"/>
      <c r="U28" s="36" t="str">
        <f>IF(T28="DNF","DNF",IF(T28&gt;0,T$29/T28*100,""))</f>
        <v/>
      </c>
      <c r="V28" s="39"/>
      <c r="W28" s="36" t="str">
        <f>IF(V28="DNF","DNF",IF(V28&lt;&gt;"",V28/V$29*100,""))</f>
        <v/>
      </c>
      <c r="X28" s="35"/>
      <c r="Y28" s="36" t="str">
        <f>IF(X28="DNF","DNF",IF(X28&gt;0,X$29/X28*100,""))</f>
        <v/>
      </c>
      <c r="Z28" s="38"/>
      <c r="AA28" s="36" t="str">
        <f>IF(Z28="DNF","DNF",IF(Z28&gt;0,Z$29/Z28*100,""))</f>
        <v/>
      </c>
      <c r="AB28" s="35"/>
      <c r="AC28" s="36" t="str">
        <f>IF(AB28="DNF","DNF",IF(AB28&gt;0,AB$29/AB28*100,""))</f>
        <v/>
      </c>
      <c r="AD28" s="38"/>
      <c r="AE28" s="36" t="str">
        <f>IF(AD28="DNF","DNF",IF(AD28&gt;0,AD$29/AD28*100,""))</f>
        <v/>
      </c>
      <c r="AF28" s="35"/>
      <c r="AG28" s="36" t="str">
        <f>IF(AF28="DNF","DNF",IF(AF28&gt;0,AF$29/AF28*100,""))</f>
        <v/>
      </c>
      <c r="AH28" s="38"/>
      <c r="AI28" s="36" t="str">
        <f>IF(AH28="DNF","DNF",IF(AH28&gt;0,AH$29/AH28*100,""))</f>
        <v/>
      </c>
      <c r="AJ28" s="38"/>
      <c r="AK28" s="160" t="str">
        <f>IF(AJ28="DNF","DNF",IF(AJ28&gt;0,AJ$29/AJ28*100,""))</f>
        <v/>
      </c>
      <c r="AL28" s="210"/>
      <c r="AM28" s="36" t="str">
        <f t="shared" si="55"/>
        <v/>
      </c>
      <c r="AN28" s="7"/>
      <c r="AO28" s="61"/>
      <c r="AP28" s="244"/>
      <c r="AQ28" s="216"/>
      <c r="AR28" s="214"/>
      <c r="AS28" s="195"/>
      <c r="AT28" s="9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</row>
    <row r="29" spans="1:255" ht="12" customHeight="1" thickTop="1">
      <c r="A29" s="62" t="s">
        <v>37</v>
      </c>
      <c r="B29" s="24">
        <f>MIN(B3:B24)</f>
        <v>2.1531250000000001E-3</v>
      </c>
      <c r="C29" s="63"/>
      <c r="D29" s="24">
        <f>MIN(D3:D24)</f>
        <v>1.7655092592592594E-3</v>
      </c>
      <c r="E29" s="64"/>
      <c r="F29" s="24">
        <f>MIN(F3:F24)</f>
        <v>1.9831018518518518E-3</v>
      </c>
      <c r="G29" s="64"/>
      <c r="H29" s="24">
        <f>MIN(H3:H24)</f>
        <v>1.6716435185185187E-3</v>
      </c>
      <c r="I29" s="64"/>
      <c r="J29" s="24">
        <f>MIN(J3:J17)</f>
        <v>8.1417824074074075E-4</v>
      </c>
      <c r="K29" s="64"/>
      <c r="L29" s="24">
        <f>MIN(L3:L26)</f>
        <v>4.9396990740740738E-3</v>
      </c>
      <c r="M29" s="64"/>
      <c r="N29" s="27">
        <f>MAX(N3:N25)</f>
        <v>27</v>
      </c>
      <c r="O29" s="63"/>
      <c r="P29" s="24">
        <f>MIN(P3:P17)</f>
        <v>1.7546296296296296E-4</v>
      </c>
      <c r="Q29" s="64"/>
      <c r="R29" s="28">
        <f>MAX(S3:S22)</f>
        <v>100</v>
      </c>
      <c r="S29" s="64"/>
      <c r="T29" s="24">
        <f>MIN(T3:T24)</f>
        <v>8.3495370370370364E-4</v>
      </c>
      <c r="U29" s="64"/>
      <c r="V29" s="27">
        <f>MAX(V3:V22)</f>
        <v>24</v>
      </c>
      <c r="W29" s="63"/>
      <c r="X29" s="24">
        <f>MIN(X3:X24)</f>
        <v>4.3182870370370375E-4</v>
      </c>
      <c r="Y29" s="64"/>
      <c r="Z29" s="24">
        <f>MIN(Z3:Z17)</f>
        <v>5.1232638888888888E-4</v>
      </c>
      <c r="AA29" s="64"/>
      <c r="AB29" s="24">
        <f>MIN(AB3:AB24)</f>
        <v>4.3275462962962967E-4</v>
      </c>
      <c r="AC29" s="64"/>
      <c r="AD29" s="24">
        <f>MIN(AD3:AD24)</f>
        <v>6.3831018518518523E-4</v>
      </c>
      <c r="AE29" s="64"/>
      <c r="AF29" s="24">
        <f>MIN(AF3:AF25)</f>
        <v>6.7025462962962959E-4</v>
      </c>
      <c r="AG29" s="64"/>
      <c r="AH29" s="24">
        <f>MIN(AH3:AH24)</f>
        <v>1.7564814814814813E-3</v>
      </c>
      <c r="AI29" s="122"/>
      <c r="AJ29" s="190">
        <f>MIN(AJ3:AJ24)</f>
        <v>7.0601851851851845E-5</v>
      </c>
      <c r="AK29" s="202"/>
      <c r="AL29" s="205">
        <f>MIN(AL3:AL24)</f>
        <v>3.5902777777777777E-4</v>
      </c>
      <c r="AM29" s="186"/>
      <c r="AN29" s="10"/>
      <c r="AO29" s="10"/>
      <c r="AP29" s="10"/>
      <c r="AQ29" s="10"/>
      <c r="AR29" s="54"/>
      <c r="AS29" s="10"/>
      <c r="AT29" s="33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</row>
    <row r="30" spans="1:255" ht="12" customHeight="1">
      <c r="A30" s="65" t="s">
        <v>38</v>
      </c>
      <c r="B30" s="2" t="str">
        <f t="array" ref="B30">INDEX($A$3:$A$24, MATCH(B31,B3:B24,0))</f>
        <v>FLCC</v>
      </c>
      <c r="C30" s="66"/>
      <c r="D30" s="2" t="str">
        <f t="array" ref="D30">INDEX($A$3:$A$24, MATCH(D31,D3:D24,0))</f>
        <v>ESF</v>
      </c>
      <c r="E30" s="66"/>
      <c r="F30" s="2" t="str">
        <f t="array" ref="F30">INDEX($A$3:$A$24, MATCH(F31,F3:F24,0))</f>
        <v>ESF</v>
      </c>
      <c r="G30" s="66"/>
      <c r="H30" s="2" t="str">
        <f t="array" ref="H30">INDEX($A$3:$A$24, MATCH(H31,H3:H24,0))</f>
        <v>Paul Smiths</v>
      </c>
      <c r="I30" s="66"/>
      <c r="J30" s="2" t="str">
        <f t="array" ref="J30">INDEX($A$3:$A$24, MATCH(J31,J3:J24,0))</f>
        <v>Alfred State</v>
      </c>
      <c r="K30" s="66"/>
      <c r="L30" s="2" t="str">
        <f>INDEX($A$3:$A$24, MATCH(L31,L3:L24,0))</f>
        <v>Paul Smiths</v>
      </c>
      <c r="M30" s="66"/>
      <c r="N30" s="2" t="str">
        <f t="array" ref="N30">INDEX($A$3:$A$24, MATCH(N31,N3:N24,0))</f>
        <v>ESF</v>
      </c>
      <c r="O30" s="3" t="s">
        <v>69</v>
      </c>
      <c r="P30" s="2" t="str">
        <f t="array" ref="P30">INDEX($A$3:$A$24, MATCH(P31,P3:P24,0))</f>
        <v>Paul Smiths</v>
      </c>
      <c r="Q30" s="66"/>
      <c r="R30" s="2" t="str">
        <f t="array" ref="R30">INDEX($A$3:$A$24, MATCH(R31,S3:S24,0))</f>
        <v>Paul Smiths</v>
      </c>
      <c r="S30" s="66"/>
      <c r="T30" s="2" t="str">
        <f t="array" ref="T30">INDEX($A$3:$A$24, MATCH(T31,T3:T24,0))</f>
        <v>Paul Smiths</v>
      </c>
      <c r="U30" s="66"/>
      <c r="V30" s="2" t="str">
        <f t="array" ref="V30">INDEX($A$3:$A$24, MATCH(V31,V3:V24,0))</f>
        <v>Alfred State</v>
      </c>
      <c r="W30" s="3"/>
      <c r="X30" s="2" t="str">
        <f t="array" ref="X30">INDEX($A$3:$A$24, MATCH(X31,X3:X24,0))</f>
        <v>ESF</v>
      </c>
      <c r="Y30" s="66"/>
      <c r="Z30" s="2" t="str">
        <f t="array" ref="Z30">INDEX($A$3:$A$24, MATCH(Z31,Z3:Z24,0))</f>
        <v>Colby</v>
      </c>
      <c r="AA30" s="66"/>
      <c r="AB30" s="2" t="str">
        <f t="array" ref="AB30">INDEX($A$3:$A$24, MATCH(AB31,AB3:AB24,0))</f>
        <v>Alfred State</v>
      </c>
      <c r="AC30" s="66"/>
      <c r="AD30" s="2" t="str">
        <f t="array" ref="AD30">INDEX($A$3:$A$24, MATCH(AD31,AD3:AD24,0))</f>
        <v>Paul Smiths</v>
      </c>
      <c r="AE30" s="66"/>
      <c r="AF30" s="2" t="str">
        <f t="array" ref="AF30">INDEX($A$3:$A$24, MATCH(AF31,AF3:AF24,0))</f>
        <v>Paul Smiths</v>
      </c>
      <c r="AG30" s="66"/>
      <c r="AH30" s="2" t="str">
        <f t="array" ref="AH30">INDEX($A$3:$A$24, MATCH(AH31,AH3:AH24,0))</f>
        <v>Ranger</v>
      </c>
      <c r="AI30" s="191"/>
      <c r="AJ30" s="198" t="str">
        <f t="array" ref="AJ30">INDEX($A$3:$A$24, MATCH(AJ31,AJ3:AJ24,0))</f>
        <v>Colby</v>
      </c>
      <c r="AK30" s="195"/>
      <c r="AL30" s="189" t="str">
        <f>INDEX($A$3:$A$24, MATCH(AL31,AL3:AL24,0))</f>
        <v>Unity</v>
      </c>
      <c r="AM30" s="184"/>
      <c r="AN30" s="7"/>
      <c r="AO30" s="7"/>
      <c r="AP30" s="195"/>
      <c r="AQ30" s="195"/>
      <c r="AR30" s="214"/>
      <c r="AS30" s="195"/>
      <c r="AT30" s="9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</row>
    <row r="31" spans="1:255" ht="12" customHeight="1">
      <c r="A31" s="67" t="s">
        <v>39</v>
      </c>
      <c r="B31" s="15">
        <f>SMALL(B3:B24,1)</f>
        <v>2.1531250000000001E-3</v>
      </c>
      <c r="C31" s="68"/>
      <c r="D31" s="15">
        <f>SMALL(D3:D24,1)</f>
        <v>1.7655092592592594E-3</v>
      </c>
      <c r="E31" s="68"/>
      <c r="F31" s="15">
        <f>SMALL(F3:F24,1)</f>
        <v>1.9831018518518518E-3</v>
      </c>
      <c r="G31" s="68"/>
      <c r="H31" s="15">
        <f>SMALL(H3:H24,1)</f>
        <v>1.6716435185185187E-3</v>
      </c>
      <c r="I31" s="68"/>
      <c r="J31" s="15">
        <f>SMALL(J3:J24,1)</f>
        <v>8.1417824074074075E-4</v>
      </c>
      <c r="K31" s="68"/>
      <c r="L31" s="15">
        <f>SMALL(L3:L24,1)</f>
        <v>4.9396990740740738E-3</v>
      </c>
      <c r="M31" s="68"/>
      <c r="N31" s="16">
        <f>LARGE(N3:N24,1)</f>
        <v>27</v>
      </c>
      <c r="O31" s="69"/>
      <c r="P31" s="15">
        <f>SMALL(P3:P24,1)</f>
        <v>1.7546296296296296E-4</v>
      </c>
      <c r="Q31" s="68"/>
      <c r="R31" s="12">
        <f>LARGE(S3:S24,1)</f>
        <v>100</v>
      </c>
      <c r="S31" s="68"/>
      <c r="T31" s="15">
        <f>SMALL(T3:T24,1)</f>
        <v>8.3495370370370364E-4</v>
      </c>
      <c r="U31" s="68"/>
      <c r="V31" s="16">
        <f>LARGE(V3:V24,1)</f>
        <v>24</v>
      </c>
      <c r="W31" s="69"/>
      <c r="X31" s="15">
        <f>SMALL(X3:X24,1)</f>
        <v>4.3182870370370375E-4</v>
      </c>
      <c r="Y31" s="68"/>
      <c r="Z31" s="15">
        <f>SMALL(Z3:Z24,1)</f>
        <v>5.1232638888888888E-4</v>
      </c>
      <c r="AA31" s="68"/>
      <c r="AB31" s="15">
        <f>SMALL(AB3:AB24,1)</f>
        <v>4.3275462962962967E-4</v>
      </c>
      <c r="AC31" s="68"/>
      <c r="AD31" s="15">
        <f>SMALL(AD3:AD24,1)</f>
        <v>6.3831018518518523E-4</v>
      </c>
      <c r="AE31" s="68"/>
      <c r="AF31" s="15">
        <f>SMALL(AF3:AF24,1)</f>
        <v>6.7025462962962959E-4</v>
      </c>
      <c r="AG31" s="68"/>
      <c r="AH31" s="15">
        <f>SMALL(AH3:AH24,1)</f>
        <v>1.7564814814814813E-3</v>
      </c>
      <c r="AI31" s="192"/>
      <c r="AJ31" s="200">
        <f>SMALL(AJ3:AJ24,1)</f>
        <v>7.0601851851851845E-5</v>
      </c>
      <c r="AK31" s="196"/>
      <c r="AL31" s="15">
        <f>SMALL(AL3:AL24,1)</f>
        <v>3.5902777777777777E-4</v>
      </c>
      <c r="AM31" s="185"/>
      <c r="AN31" s="7"/>
      <c r="AO31" s="7"/>
      <c r="AP31" s="195"/>
      <c r="AQ31" s="195"/>
      <c r="AR31" s="214"/>
      <c r="AS31" s="195"/>
      <c r="AT31" s="9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</row>
    <row r="32" spans="1:255" ht="12" customHeight="1">
      <c r="A32" s="70" t="s">
        <v>40</v>
      </c>
      <c r="B32" s="71" t="str">
        <f t="array" ref="B32">INDEX($A$3:$A$24, MATCH(B33,B3:B24,0))</f>
        <v>Alfred State</v>
      </c>
      <c r="C32" s="72"/>
      <c r="D32" s="71" t="str">
        <f t="array" ref="D32">INDEX($A$3:$A$24, MATCH(D33,D3:D24,0))</f>
        <v>FLCC</v>
      </c>
      <c r="E32" s="72"/>
      <c r="F32" s="71" t="str">
        <f t="array" ref="F32">INDEX($A$3:$A$24, MATCH(F33,F3:F24,0))</f>
        <v>Cobleskill</v>
      </c>
      <c r="G32" s="72"/>
      <c r="H32" s="71" t="str">
        <f t="array" ref="H32">INDEX($A$3:$A$24, MATCH(H33,H3:H24,0))</f>
        <v>Unity</v>
      </c>
      <c r="I32" s="72"/>
      <c r="J32" s="71" t="str">
        <f t="array" ref="J32">INDEX($A$3:$A$24, MATCH(J33,J3:J24,0))</f>
        <v>ESF</v>
      </c>
      <c r="K32" s="72"/>
      <c r="L32" s="71" t="str">
        <f t="array" ref="L32">INDEX($A$3:$A$24, MATCH(L33,L3:L24,0))</f>
        <v>Alfred State</v>
      </c>
      <c r="M32" s="72"/>
      <c r="N32" s="71" t="s">
        <v>52</v>
      </c>
      <c r="O32" s="73" t="s">
        <v>69</v>
      </c>
      <c r="P32" s="71" t="str">
        <f t="array" ref="P32">INDEX($A$3:$A$24, MATCH(P33,P3:P24,0))</f>
        <v>UNH</v>
      </c>
      <c r="Q32" s="72"/>
      <c r="R32" s="71" t="str">
        <f t="array" ref="R32">INDEX($A$3:$A$24, MATCH(R33,S3:S24,0))</f>
        <v>ESF</v>
      </c>
      <c r="S32" s="72"/>
      <c r="T32" s="71" t="str">
        <f t="array" ref="T32">INDEX($A$3:$A$24, MATCH(T33,T3:T24,0))</f>
        <v>Colby</v>
      </c>
      <c r="U32" s="72"/>
      <c r="V32" s="71" t="str">
        <f t="array" ref="V32">INDEX( $A$3:$A$24, MATCH(V33,V3:V24,0))</f>
        <v>Cobleskill</v>
      </c>
      <c r="W32" s="73" t="s">
        <v>69</v>
      </c>
      <c r="X32" s="71" t="str">
        <f t="array" ref="X32">INDEX($A$3:$A$24, MATCH(X33,X3:X24,0))</f>
        <v>Paul Smiths</v>
      </c>
      <c r="Y32" s="72"/>
      <c r="Z32" s="71" t="str">
        <f t="array" ref="Z32">INDEX($A$3:$A$24, MATCH(Z33,Z3:Z24,0))</f>
        <v>Cobleskill</v>
      </c>
      <c r="AA32" s="72"/>
      <c r="AB32" s="71" t="str">
        <f t="array" ref="AB32">INDEX($A$3:$A$24, MATCH(AB33,AB3:AB24,0))</f>
        <v>Paul Smiths</v>
      </c>
      <c r="AC32" s="72"/>
      <c r="AD32" s="71" t="str">
        <f t="array" ref="AD32">INDEX($A$3:$A$24, MATCH(AD33,AD3:AD24,0))</f>
        <v>Alfred State</v>
      </c>
      <c r="AE32" s="72"/>
      <c r="AF32" s="71" t="str">
        <f t="array" ref="AF32">INDEX($A$3:$A$24, MATCH(AF33,AF3:AF24,0))</f>
        <v>ESF</v>
      </c>
      <c r="AG32" s="72"/>
      <c r="AH32" s="71" t="str">
        <f t="array" ref="AH32">INDEX($A$3:$A$24, MATCH(AH33,AH3:AH24,0))</f>
        <v>Morrisville</v>
      </c>
      <c r="AI32" s="193"/>
      <c r="AJ32" s="199" t="str">
        <f t="array" ref="AJ32">INDEX($A$3:$A$24, MATCH(AJ33,AJ3:AJ24,0))</f>
        <v>ESF</v>
      </c>
      <c r="AK32" s="120"/>
      <c r="AL32" s="71" t="str">
        <f>INDEX($A$3:$A$24, MATCH(AL33,AL3:AL24,0))</f>
        <v>Paul Smiths</v>
      </c>
      <c r="AM32" s="187"/>
      <c r="AN32" s="10"/>
      <c r="AO32" s="10"/>
      <c r="AP32" s="10"/>
      <c r="AQ32" s="10"/>
      <c r="AR32" s="74"/>
      <c r="AS32" s="10"/>
      <c r="AT32" s="33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</row>
    <row r="33" spans="1:257" ht="12" customHeight="1">
      <c r="A33" s="75" t="s">
        <v>39</v>
      </c>
      <c r="B33" s="76">
        <f>SMALL(B3:B24,2)</f>
        <v>2.2112268518518518E-3</v>
      </c>
      <c r="C33" s="77"/>
      <c r="D33" s="76">
        <f>SMALL(D3:D24,2)</f>
        <v>1.7842592592592591E-3</v>
      </c>
      <c r="E33" s="77"/>
      <c r="F33" s="76">
        <f>SMALL(F3:F24,2)</f>
        <v>2.0104166666666669E-3</v>
      </c>
      <c r="G33" s="77"/>
      <c r="H33" s="76">
        <f>SMALL(H3:H24,2)</f>
        <v>1.9413194444444445E-3</v>
      </c>
      <c r="I33" s="77"/>
      <c r="J33" s="76">
        <f>SMALL(J3:J24,2)</f>
        <v>8.241319444444445E-4</v>
      </c>
      <c r="K33" s="77"/>
      <c r="L33" s="76">
        <f>SMALL(L3:L24,2)</f>
        <v>5.3094907407407405E-3</v>
      </c>
      <c r="M33" s="77"/>
      <c r="N33" s="78">
        <f>LARGE(N3:N24,2)</f>
        <v>27</v>
      </c>
      <c r="O33" s="79"/>
      <c r="P33" s="76">
        <f>SMALL(P3:P24,2)</f>
        <v>2.0277777777777777E-4</v>
      </c>
      <c r="Q33" s="77"/>
      <c r="R33" s="80">
        <f>LARGE(S5:S26,2)</f>
        <v>90</v>
      </c>
      <c r="S33" s="77"/>
      <c r="T33" s="76">
        <f>SMALL(T3:T24,2)</f>
        <v>1.027662037037037E-3</v>
      </c>
      <c r="U33" s="77"/>
      <c r="V33" s="78">
        <f>LARGE(V3:V24,2)</f>
        <v>18</v>
      </c>
      <c r="W33" s="79"/>
      <c r="X33" s="76">
        <f>SMALL(X3:X24,2)</f>
        <v>4.6527777777777778E-4</v>
      </c>
      <c r="Y33" s="77"/>
      <c r="Z33" s="76">
        <f>SMALL(Z3:Z24,2)</f>
        <v>5.2899305555555544E-4</v>
      </c>
      <c r="AA33" s="77"/>
      <c r="AB33" s="76">
        <f>SMALL(AB3:AB24,2)</f>
        <v>4.5775462962962957E-4</v>
      </c>
      <c r="AC33" s="77"/>
      <c r="AD33" s="76">
        <f>SMALL(AD3:AD24,2)</f>
        <v>6.5567129629629623E-4</v>
      </c>
      <c r="AE33" s="77"/>
      <c r="AF33" s="76">
        <f>SMALL(AF3:AF24,2)</f>
        <v>7.6979166666666678E-4</v>
      </c>
      <c r="AG33" s="77"/>
      <c r="AH33" s="76">
        <f>SMALL(AH3:AH24,2)</f>
        <v>2.0053240740740739E-3</v>
      </c>
      <c r="AI33" s="194"/>
      <c r="AJ33" s="201">
        <f>SMALL(AJ3:AJ24,2)</f>
        <v>8.1828703703703696E-5</v>
      </c>
      <c r="AK33" s="92"/>
      <c r="AL33" s="76">
        <f>SMALL(AL3:AL24,2)</f>
        <v>3.6979166666666665E-4</v>
      </c>
      <c r="AM33" s="188"/>
      <c r="AN33" s="10"/>
      <c r="AO33" s="10"/>
      <c r="AP33" s="10"/>
      <c r="AQ33" s="10"/>
      <c r="AR33" s="74"/>
      <c r="AS33" s="10"/>
      <c r="AT33" s="33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</row>
    <row r="34" spans="1:257" ht="12" customHeight="1">
      <c r="A34" s="65" t="s">
        <v>41</v>
      </c>
      <c r="B34" s="2" t="str">
        <f t="array" ref="B34">INDEX($A$3:$A$24, MATCH(B35,B3:B24,0))</f>
        <v>ESF</v>
      </c>
      <c r="C34" s="66"/>
      <c r="D34" s="2" t="str">
        <f t="array" ref="D34">INDEX($A$3:$A$24, MATCH(D35,D3:D24,0))</f>
        <v>Alfred State</v>
      </c>
      <c r="E34" s="66"/>
      <c r="F34" s="2" t="str">
        <f t="array" ref="F34">INDEX($A$3:$A$24, MATCH(F35,F3:F24,0))</f>
        <v>FLCC</v>
      </c>
      <c r="G34" s="66"/>
      <c r="H34" s="2" t="str">
        <f t="array" ref="H34">INDEX($A$3:$A$24, MATCH(H35,H3:H24,0))</f>
        <v>ESF</v>
      </c>
      <c r="I34" s="66"/>
      <c r="J34" s="2" t="str">
        <f t="array" ref="J34">INDEX($A$3:$A$24, MATCH(J35,J3:J24,0))</f>
        <v>Paul Smiths</v>
      </c>
      <c r="K34" s="66"/>
      <c r="L34" s="2" t="str">
        <f t="array" ref="L34">INDEX($A$3:$A$24, MATCH(L35,L3:L24,0))</f>
        <v>Ranger</v>
      </c>
      <c r="M34" s="66"/>
      <c r="N34" s="2" t="str">
        <f>INDEX( $A$3:$A$24, MATCH(N35,N3:N24,0))</f>
        <v>Ranger</v>
      </c>
      <c r="O34" s="3"/>
      <c r="P34" s="2" t="str">
        <f t="array" ref="P34">INDEX($A$3:$A$24, MATCH(P35,P3:P24,0))</f>
        <v>FLCC</v>
      </c>
      <c r="Q34" s="66"/>
      <c r="R34" s="2" t="str">
        <f t="array" ref="R34">INDEX($A$3:$A$24, MATCH(R35,S3:S24,0))</f>
        <v>UMO</v>
      </c>
      <c r="S34" s="66"/>
      <c r="T34" s="2" t="str">
        <f t="array" ref="T34">INDEX($A$3:$A$24, MATCH(T35,T3:T24,0))</f>
        <v>FLCC</v>
      </c>
      <c r="U34" s="66"/>
      <c r="V34" s="2" t="s">
        <v>34</v>
      </c>
      <c r="W34" s="3" t="s">
        <v>69</v>
      </c>
      <c r="X34" s="2" t="str">
        <f t="array" ref="X34">INDEX($A$3:$A$24, MATCH(X35,X3:X24,0))</f>
        <v>Alfred State</v>
      </c>
      <c r="Y34" s="66"/>
      <c r="Z34" s="2" t="str">
        <f t="array" ref="Z34">INDEX($A$3:$A$24, MATCH(Z35,Z3:Z24,0))</f>
        <v>FLCC</v>
      </c>
      <c r="AA34" s="66"/>
      <c r="AB34" s="2" t="str">
        <f t="array" ref="AB34">INDEX($A$3:$A$24, MATCH(AB35,AB3:AB24,0))</f>
        <v>Unity</v>
      </c>
      <c r="AC34" s="66"/>
      <c r="AD34" s="2" t="str">
        <f t="array" ref="AD34">INDEX($A$3:$A$24, MATCH(AD35,AD3:AD24,0))</f>
        <v>FLCC</v>
      </c>
      <c r="AE34" s="66"/>
      <c r="AF34" s="2" t="str">
        <f t="array" ref="AF34">INDEX($A$3:$A$24, MATCH(AF35,AF3:AF24,0))</f>
        <v>Alfred State</v>
      </c>
      <c r="AG34" s="66"/>
      <c r="AH34" s="2" t="str">
        <f t="array" ref="AH34">INDEX($A$3:$A$24, MATCH(AH35,AH3:AH24,0))</f>
        <v>FLCC</v>
      </c>
      <c r="AI34" s="191"/>
      <c r="AJ34" s="198" t="str">
        <f t="array" ref="AJ34">INDEX($A$3:$A$24, MATCH(AJ35,AJ3:AJ24,0))</f>
        <v>Unity</v>
      </c>
      <c r="AK34" s="197"/>
      <c r="AL34" s="2" t="str">
        <f>INDEX($A$3:$A$24, MATCH(AL35,AL3:AL24,0))</f>
        <v>ESF</v>
      </c>
      <c r="AM34" s="184"/>
      <c r="AN34" s="7"/>
      <c r="AO34" s="7"/>
      <c r="AP34" s="195"/>
      <c r="AQ34" s="195"/>
      <c r="AR34" s="215"/>
      <c r="AS34" s="195"/>
      <c r="AT34" s="9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</row>
    <row r="35" spans="1:257" ht="12" customHeight="1">
      <c r="A35" s="67" t="s">
        <v>39</v>
      </c>
      <c r="B35" s="15">
        <f>SMALL(B3:B24,3)</f>
        <v>2.2825231481481485E-3</v>
      </c>
      <c r="C35" s="68"/>
      <c r="D35" s="15">
        <f>SMALL(D3:D24,3)</f>
        <v>1.9854166666666666E-3</v>
      </c>
      <c r="E35" s="68"/>
      <c r="F35" s="15">
        <f>SMALL(F3:F24,3)</f>
        <v>2.0732638888888888E-3</v>
      </c>
      <c r="G35" s="68"/>
      <c r="H35" s="15">
        <f>SMALL(H3:H24,3)</f>
        <v>1.9858796296296295E-3</v>
      </c>
      <c r="I35" s="68"/>
      <c r="J35" s="15">
        <f>SMALL(J3:J24,3)</f>
        <v>8.3478009259259269E-4</v>
      </c>
      <c r="K35" s="68"/>
      <c r="L35" s="15">
        <f>SMALL(L3:L24,3)</f>
        <v>5.3876157407407414E-3</v>
      </c>
      <c r="M35" s="68"/>
      <c r="N35" s="16">
        <f>LARGE(N3:N24,3)</f>
        <v>25</v>
      </c>
      <c r="O35" s="69"/>
      <c r="P35" s="15">
        <f>SMALL(P3:P24,3)</f>
        <v>2.1030092592592593E-4</v>
      </c>
      <c r="Q35" s="68"/>
      <c r="R35" s="12">
        <f>LARGE(S7:S28,3)</f>
        <v>80</v>
      </c>
      <c r="S35" s="68"/>
      <c r="T35" s="15">
        <f>SMALL(T3:T24,3)</f>
        <v>1.0907407407407409E-3</v>
      </c>
      <c r="U35" s="68"/>
      <c r="V35" s="16">
        <f>LARGE(V3:V24,3)</f>
        <v>18</v>
      </c>
      <c r="W35" s="69"/>
      <c r="X35" s="15">
        <f>SMALL(X3:X24,3)</f>
        <v>5.2916666666666661E-4</v>
      </c>
      <c r="Y35" s="68"/>
      <c r="Z35" s="15">
        <f>SMALL(Z3:Z24,3)</f>
        <v>5.5451388888888889E-4</v>
      </c>
      <c r="AA35" s="68"/>
      <c r="AB35" s="15">
        <f>SMALL(AB3:AB24,3)</f>
        <v>4.6597222222222217E-4</v>
      </c>
      <c r="AC35" s="68"/>
      <c r="AD35" s="15">
        <f>SMALL(AD3:AD24,3)</f>
        <v>7.1087962962962977E-4</v>
      </c>
      <c r="AE35" s="68"/>
      <c r="AF35" s="15">
        <f>SMALL(AF3:AF24,3)</f>
        <v>8.0555555555555545E-4</v>
      </c>
      <c r="AG35" s="68"/>
      <c r="AH35" s="15">
        <f>SMALL(AH3:AH24,3)</f>
        <v>2.0175925925925925E-3</v>
      </c>
      <c r="AI35" s="192"/>
      <c r="AJ35" s="200">
        <f>SMALL(AJ3:AJ24,3)</f>
        <v>8.7499999999999999E-5</v>
      </c>
      <c r="AK35" s="196"/>
      <c r="AL35" s="15">
        <f>SMALL(AL3:AL24,3)</f>
        <v>3.9432870370370365E-4</v>
      </c>
      <c r="AM35" s="185"/>
      <c r="AN35" s="7"/>
      <c r="AO35" s="7"/>
      <c r="AP35" s="195"/>
      <c r="AQ35" s="195"/>
      <c r="AR35" s="215"/>
      <c r="AS35" s="195"/>
      <c r="AT35" s="9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</row>
    <row r="36" spans="1:257" ht="12" customHeight="1">
      <c r="A36" s="81"/>
      <c r="B36" s="47"/>
      <c r="C36" s="82"/>
      <c r="D36" s="47"/>
      <c r="E36" s="82"/>
      <c r="F36" s="47"/>
      <c r="G36" s="82"/>
      <c r="H36" s="47"/>
      <c r="I36" s="82"/>
      <c r="J36" s="47"/>
      <c r="K36" s="82"/>
      <c r="L36" s="47"/>
      <c r="M36" s="82"/>
      <c r="N36" s="53"/>
      <c r="O36" s="83"/>
      <c r="P36" s="53"/>
      <c r="Q36" s="83"/>
      <c r="R36" s="47"/>
      <c r="S36" s="82"/>
      <c r="T36" s="10"/>
      <c r="U36" s="82"/>
      <c r="V36" s="47"/>
      <c r="W36" s="82"/>
      <c r="X36" s="53"/>
      <c r="Y36" s="83"/>
      <c r="Z36" s="47"/>
      <c r="AA36" s="82"/>
      <c r="AB36" s="47"/>
      <c r="AC36" s="82"/>
      <c r="AD36" s="47"/>
      <c r="AE36" s="82"/>
      <c r="AF36" s="47"/>
      <c r="AG36" s="82"/>
      <c r="AH36" s="47"/>
      <c r="AI36" s="82"/>
      <c r="AJ36" s="47"/>
      <c r="AK36" s="82"/>
      <c r="AL36" s="47"/>
      <c r="AM36" s="82"/>
      <c r="AN36" s="82"/>
      <c r="AO36" s="82"/>
      <c r="AP36" s="10"/>
      <c r="AQ36" s="10"/>
      <c r="AR36" s="83"/>
      <c r="AS36" s="84"/>
      <c r="AT36" s="74"/>
      <c r="AU36" s="10"/>
      <c r="AV36" s="33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</row>
    <row r="37" spans="1:257" ht="12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</row>
    <row r="38" spans="1:257" ht="12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</row>
    <row r="39" spans="1:257" ht="12" customHeight="1">
      <c r="A39" s="10"/>
      <c r="B39" s="10"/>
      <c r="C39" s="83"/>
      <c r="D39" s="10"/>
      <c r="E39" s="83"/>
      <c r="F39" s="10"/>
      <c r="G39" s="83"/>
      <c r="H39" s="10"/>
      <c r="I39" s="83"/>
      <c r="J39" s="10"/>
      <c r="K39" s="83"/>
      <c r="L39" s="85"/>
      <c r="M39" s="83"/>
      <c r="N39" s="10"/>
      <c r="O39" s="83"/>
      <c r="P39" s="10"/>
      <c r="Q39" s="83"/>
      <c r="R39" s="47"/>
      <c r="S39" s="83"/>
      <c r="T39" s="10"/>
      <c r="U39" s="83"/>
      <c r="V39" s="10"/>
      <c r="W39" s="83"/>
      <c r="X39" s="53"/>
      <c r="Y39" s="83"/>
      <c r="Z39" s="47"/>
      <c r="AA39" s="83"/>
      <c r="AB39" s="85"/>
      <c r="AC39" s="83"/>
      <c r="AD39" s="47"/>
      <c r="AE39" s="83"/>
      <c r="AF39" s="47"/>
      <c r="AG39" s="83"/>
      <c r="AH39" s="47"/>
      <c r="AI39" s="83"/>
      <c r="AJ39" s="10"/>
      <c r="AK39" s="83"/>
      <c r="AL39" s="47"/>
      <c r="AM39" s="83"/>
      <c r="AN39" s="83"/>
      <c r="AO39" s="83"/>
      <c r="AP39" s="10"/>
      <c r="AQ39" s="10"/>
      <c r="AR39" s="83"/>
      <c r="AS39" s="84"/>
      <c r="AT39" s="74"/>
      <c r="AU39" s="10"/>
      <c r="AV39" s="33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</row>
    <row r="40" spans="1:257" ht="12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</row>
    <row r="41" spans="1:257" ht="12" customHeight="1">
      <c r="A41" s="10"/>
      <c r="B41" s="10"/>
      <c r="C41" s="83"/>
      <c r="D41" s="10"/>
      <c r="E41" s="83"/>
      <c r="F41" s="10"/>
      <c r="G41" s="83"/>
      <c r="H41" s="10"/>
      <c r="I41" s="83"/>
      <c r="J41" s="10"/>
      <c r="K41" s="83"/>
      <c r="L41" s="85"/>
      <c r="M41" s="83"/>
      <c r="N41" s="10"/>
      <c r="O41" s="83"/>
      <c r="P41" s="10"/>
      <c r="Q41" s="83"/>
      <c r="R41" s="47"/>
      <c r="S41" s="83"/>
      <c r="T41" s="10"/>
      <c r="U41" s="83"/>
      <c r="V41" s="10"/>
      <c r="W41" s="83"/>
      <c r="X41" s="53"/>
      <c r="Y41" s="83"/>
      <c r="Z41" s="47"/>
      <c r="AA41" s="83"/>
      <c r="AB41" s="85"/>
      <c r="AC41" s="83"/>
      <c r="AD41" s="47"/>
      <c r="AE41" s="83"/>
      <c r="AF41" s="47"/>
      <c r="AG41" s="83"/>
      <c r="AH41" s="47"/>
      <c r="AI41" s="83"/>
      <c r="AJ41" s="10"/>
      <c r="AK41" s="83"/>
      <c r="AL41" s="47"/>
      <c r="AM41" s="83"/>
      <c r="AN41" s="83"/>
      <c r="AO41" s="83"/>
      <c r="AP41" s="10"/>
      <c r="AQ41" s="10"/>
      <c r="AR41" s="83"/>
      <c r="AS41" s="84"/>
      <c r="AT41" s="74"/>
      <c r="AU41" s="10"/>
      <c r="AV41" s="33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</row>
    <row r="42" spans="1:257" ht="12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</row>
    <row r="43" spans="1:257" ht="12" customHeight="1">
      <c r="A43" s="10"/>
      <c r="B43" s="10"/>
      <c r="C43" s="83"/>
      <c r="D43" s="10"/>
      <c r="E43" s="83"/>
      <c r="F43" s="10"/>
      <c r="G43" s="83"/>
      <c r="H43" s="10"/>
      <c r="I43" s="83"/>
      <c r="J43" s="10"/>
      <c r="K43" s="83"/>
      <c r="L43" s="85"/>
      <c r="M43" s="83"/>
      <c r="N43" s="10"/>
      <c r="O43" s="83"/>
      <c r="P43" s="10"/>
      <c r="Q43" s="83"/>
      <c r="R43" s="47"/>
      <c r="S43" s="83"/>
      <c r="T43" s="10"/>
      <c r="U43" s="83"/>
      <c r="V43" s="10"/>
      <c r="W43" s="83"/>
      <c r="X43" s="53"/>
      <c r="Y43" s="83"/>
      <c r="Z43" s="47"/>
      <c r="AA43" s="83"/>
      <c r="AB43" s="85"/>
      <c r="AC43" s="83"/>
      <c r="AD43" s="47"/>
      <c r="AE43" s="83"/>
      <c r="AF43" s="47"/>
      <c r="AG43" s="83"/>
      <c r="AH43" s="47"/>
      <c r="AI43" s="83"/>
      <c r="AJ43" s="10"/>
      <c r="AK43" s="83"/>
      <c r="AL43" s="47"/>
      <c r="AM43" s="83"/>
      <c r="AN43" s="83"/>
      <c r="AO43" s="83"/>
      <c r="AP43" s="10"/>
      <c r="AQ43" s="10"/>
      <c r="AR43" s="83"/>
      <c r="AS43" s="84"/>
      <c r="AT43" s="74"/>
      <c r="AU43" s="10"/>
      <c r="AV43" s="33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</row>
    <row r="44" spans="1:257" ht="12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</row>
    <row r="45" spans="1:257" ht="12" customHeight="1">
      <c r="A45" s="10"/>
      <c r="B45" s="10"/>
      <c r="C45" s="83"/>
      <c r="D45" s="10"/>
      <c r="E45" s="83"/>
      <c r="F45" s="10"/>
      <c r="G45" s="83"/>
      <c r="H45" s="10"/>
      <c r="I45" s="83"/>
      <c r="J45" s="10"/>
      <c r="K45" s="83"/>
      <c r="L45" s="85"/>
      <c r="M45" s="83"/>
      <c r="N45" s="10"/>
      <c r="O45" s="83"/>
      <c r="P45" s="10"/>
      <c r="Q45" s="83"/>
      <c r="R45" s="47"/>
      <c r="S45" s="83"/>
      <c r="T45" s="10"/>
      <c r="U45" s="83"/>
      <c r="V45" s="10"/>
      <c r="W45" s="83"/>
      <c r="X45" s="53"/>
      <c r="Y45" s="83"/>
      <c r="Z45" s="47"/>
      <c r="AA45" s="83"/>
      <c r="AB45" s="85"/>
      <c r="AC45" s="83"/>
      <c r="AD45" s="47"/>
      <c r="AE45" s="83"/>
      <c r="AF45" s="47"/>
      <c r="AG45" s="83"/>
      <c r="AH45" s="47"/>
      <c r="AI45" s="83"/>
      <c r="AJ45" s="10"/>
      <c r="AK45" s="83"/>
      <c r="AL45" s="47"/>
      <c r="AM45" s="83"/>
      <c r="AN45" s="83"/>
      <c r="AO45" s="83"/>
      <c r="AP45" s="10"/>
      <c r="AQ45" s="10"/>
      <c r="AR45" s="83"/>
      <c r="AS45" s="84"/>
      <c r="AT45" s="74"/>
      <c r="AU45" s="10"/>
      <c r="AV45" s="33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</row>
    <row r="46" spans="1:257" ht="12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</row>
    <row r="47" spans="1:257" ht="12" customHeight="1">
      <c r="A47" s="10"/>
      <c r="B47" s="10"/>
      <c r="C47" s="83"/>
      <c r="D47" s="10"/>
      <c r="E47" s="83"/>
      <c r="F47" s="10"/>
      <c r="G47" s="83"/>
      <c r="H47" s="10"/>
      <c r="I47" s="83"/>
      <c r="J47" s="10"/>
      <c r="K47" s="83"/>
      <c r="L47" s="85"/>
      <c r="M47" s="83"/>
      <c r="N47" s="10"/>
      <c r="O47" s="83"/>
      <c r="P47" s="10"/>
      <c r="Q47" s="83"/>
      <c r="R47" s="47"/>
      <c r="S47" s="83"/>
      <c r="T47" s="10"/>
      <c r="U47" s="83"/>
      <c r="V47" s="10"/>
      <c r="W47" s="83"/>
      <c r="X47" s="53"/>
      <c r="Y47" s="83"/>
      <c r="Z47" s="47"/>
      <c r="AA47" s="83"/>
      <c r="AB47" s="85"/>
      <c r="AC47" s="83"/>
      <c r="AD47" s="47"/>
      <c r="AE47" s="83"/>
      <c r="AF47" s="47"/>
      <c r="AG47" s="83"/>
      <c r="AH47" s="47"/>
      <c r="AI47" s="83"/>
      <c r="AJ47" s="10"/>
      <c r="AK47" s="83"/>
      <c r="AL47" s="47"/>
      <c r="AM47" s="83"/>
      <c r="AN47" s="83"/>
      <c r="AO47" s="83"/>
      <c r="AP47" s="10"/>
      <c r="AQ47" s="10"/>
      <c r="AR47" s="83"/>
      <c r="AS47" s="84"/>
      <c r="AT47" s="74"/>
      <c r="AU47" s="10"/>
      <c r="AV47" s="33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</row>
    <row r="48" spans="1:257" ht="12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</row>
    <row r="49" spans="1:257" ht="12" customHeight="1">
      <c r="A49" s="10"/>
      <c r="B49" s="10"/>
      <c r="C49" s="83"/>
      <c r="D49" s="10"/>
      <c r="E49" s="83"/>
      <c r="F49" s="10"/>
      <c r="G49" s="83"/>
      <c r="H49" s="10"/>
      <c r="I49" s="83"/>
      <c r="J49" s="10"/>
      <c r="K49" s="83"/>
      <c r="L49" s="85"/>
      <c r="M49" s="83"/>
      <c r="N49" s="10"/>
      <c r="O49" s="83"/>
      <c r="P49" s="10"/>
      <c r="Q49" s="83"/>
      <c r="R49" s="47"/>
      <c r="S49" s="83"/>
      <c r="T49" s="10"/>
      <c r="U49" s="83"/>
      <c r="V49" s="10"/>
      <c r="W49" s="83"/>
      <c r="X49" s="53"/>
      <c r="Y49" s="83"/>
      <c r="Z49" s="47"/>
      <c r="AA49" s="83"/>
      <c r="AB49" s="85"/>
      <c r="AC49" s="83"/>
      <c r="AD49" s="47"/>
      <c r="AE49" s="83"/>
      <c r="AF49" s="47"/>
      <c r="AG49" s="83"/>
      <c r="AH49" s="47"/>
      <c r="AI49" s="83"/>
      <c r="AJ49" s="10"/>
      <c r="AK49" s="83"/>
      <c r="AL49" s="47"/>
      <c r="AM49" s="83"/>
      <c r="AN49" s="83"/>
      <c r="AO49" s="83"/>
      <c r="AP49" s="10"/>
      <c r="AQ49" s="10"/>
      <c r="AR49" s="83"/>
      <c r="AS49" s="84"/>
      <c r="AT49" s="74"/>
      <c r="AU49" s="10"/>
      <c r="AV49" s="33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</row>
    <row r="50" spans="1:257" ht="12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</row>
    <row r="51" spans="1:257" ht="12" customHeight="1">
      <c r="A51" s="10"/>
      <c r="B51" s="10"/>
      <c r="C51" s="83"/>
      <c r="D51" s="10"/>
      <c r="E51" s="83"/>
      <c r="F51" s="10"/>
      <c r="G51" s="83"/>
      <c r="H51" s="10"/>
      <c r="I51" s="83"/>
      <c r="J51" s="10"/>
      <c r="K51" s="83"/>
      <c r="L51" s="85"/>
      <c r="M51" s="83"/>
      <c r="N51" s="10"/>
      <c r="O51" s="83"/>
      <c r="P51" s="10"/>
      <c r="Q51" s="83"/>
      <c r="R51" s="47"/>
      <c r="S51" s="83"/>
      <c r="T51" s="10"/>
      <c r="U51" s="83"/>
      <c r="V51" s="10"/>
      <c r="W51" s="83"/>
      <c r="X51" s="53"/>
      <c r="Y51" s="83"/>
      <c r="Z51" s="47"/>
      <c r="AA51" s="83"/>
      <c r="AB51" s="85"/>
      <c r="AC51" s="83"/>
      <c r="AD51" s="47"/>
      <c r="AE51" s="83"/>
      <c r="AF51" s="47"/>
      <c r="AG51" s="83"/>
      <c r="AH51" s="47"/>
      <c r="AI51" s="83"/>
      <c r="AJ51" s="10"/>
      <c r="AK51" s="83"/>
      <c r="AL51" s="47"/>
      <c r="AM51" s="83"/>
      <c r="AN51" s="83"/>
      <c r="AO51" s="83"/>
      <c r="AP51" s="10"/>
      <c r="AQ51" s="10"/>
      <c r="AR51" s="83"/>
      <c r="AS51" s="84"/>
      <c r="AT51" s="74"/>
      <c r="AU51" s="10"/>
      <c r="AV51" s="33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10"/>
    </row>
    <row r="52" spans="1:257" ht="12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</row>
    <row r="53" spans="1:257" ht="12" customHeight="1">
      <c r="A53" s="10"/>
      <c r="B53" s="10"/>
      <c r="C53" s="83"/>
      <c r="D53" s="10"/>
      <c r="E53" s="83"/>
      <c r="F53" s="10"/>
      <c r="G53" s="83"/>
      <c r="H53" s="10"/>
      <c r="I53" s="83"/>
      <c r="J53" s="10"/>
      <c r="K53" s="83"/>
      <c r="L53" s="85"/>
      <c r="M53" s="83"/>
      <c r="N53" s="10"/>
      <c r="O53" s="83"/>
      <c r="P53" s="10"/>
      <c r="Q53" s="83"/>
      <c r="R53" s="47"/>
      <c r="S53" s="83"/>
      <c r="T53" s="10"/>
      <c r="U53" s="83"/>
      <c r="V53" s="10"/>
      <c r="W53" s="83"/>
      <c r="X53" s="53"/>
      <c r="Y53" s="83"/>
      <c r="Z53" s="47"/>
      <c r="AA53" s="83"/>
      <c r="AB53" s="85"/>
      <c r="AC53" s="83"/>
      <c r="AD53" s="47"/>
      <c r="AE53" s="83"/>
      <c r="AF53" s="47"/>
      <c r="AG53" s="83"/>
      <c r="AH53" s="47"/>
      <c r="AI53" s="83"/>
      <c r="AJ53" s="10"/>
      <c r="AK53" s="83"/>
      <c r="AL53" s="47"/>
      <c r="AM53" s="83"/>
      <c r="AN53" s="83"/>
      <c r="AO53" s="83"/>
      <c r="AP53" s="10"/>
      <c r="AQ53" s="10"/>
      <c r="AR53" s="83"/>
      <c r="AS53" s="84"/>
      <c r="AT53" s="74"/>
      <c r="AU53" s="10"/>
      <c r="AV53" s="33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</row>
    <row r="54" spans="1:257" ht="12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</row>
    <row r="55" spans="1:257" ht="12" customHeight="1">
      <c r="A55" s="10"/>
      <c r="B55" s="10"/>
      <c r="C55" s="83"/>
      <c r="D55" s="10"/>
      <c r="E55" s="83"/>
      <c r="F55" s="10"/>
      <c r="G55" s="83"/>
      <c r="H55" s="10"/>
      <c r="I55" s="83"/>
      <c r="J55" s="10"/>
      <c r="K55" s="83"/>
      <c r="L55" s="85"/>
      <c r="M55" s="83"/>
      <c r="N55" s="10"/>
      <c r="O55" s="83"/>
      <c r="P55" s="10"/>
      <c r="Q55" s="83"/>
      <c r="R55" s="47"/>
      <c r="S55" s="83"/>
      <c r="T55" s="10"/>
      <c r="U55" s="83"/>
      <c r="V55" s="10"/>
      <c r="W55" s="83"/>
      <c r="X55" s="53"/>
      <c r="Y55" s="83"/>
      <c r="Z55" s="47"/>
      <c r="AA55" s="83"/>
      <c r="AB55" s="85"/>
      <c r="AC55" s="83"/>
      <c r="AD55" s="47"/>
      <c r="AE55" s="83"/>
      <c r="AF55" s="47"/>
      <c r="AG55" s="83"/>
      <c r="AH55" s="47"/>
      <c r="AI55" s="83"/>
      <c r="AJ55" s="10"/>
      <c r="AK55" s="83"/>
      <c r="AL55" s="47"/>
      <c r="AM55" s="83"/>
      <c r="AN55" s="83"/>
      <c r="AO55" s="83"/>
      <c r="AP55" s="10"/>
      <c r="AQ55" s="10"/>
      <c r="AR55" s="83"/>
      <c r="AS55" s="84"/>
      <c r="AT55" s="74"/>
      <c r="AU55" s="10"/>
      <c r="AV55" s="33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</row>
    <row r="56" spans="1:257" ht="12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</row>
    <row r="57" spans="1:257" ht="12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</row>
    <row r="58" spans="1:257" ht="12" customHeight="1">
      <c r="A58" s="10"/>
      <c r="B58" s="10"/>
      <c r="C58" s="83"/>
      <c r="D58" s="10"/>
      <c r="E58" s="83"/>
      <c r="F58" s="10"/>
      <c r="G58" s="83"/>
      <c r="H58" s="10"/>
      <c r="I58" s="83"/>
      <c r="J58" s="10"/>
      <c r="K58" s="83"/>
      <c r="L58" s="85"/>
      <c r="M58" s="83"/>
      <c r="N58" s="10"/>
      <c r="O58" s="83"/>
      <c r="P58" s="10"/>
      <c r="Q58" s="83"/>
      <c r="R58" s="47"/>
      <c r="S58" s="83"/>
      <c r="T58" s="10"/>
      <c r="U58" s="83"/>
      <c r="V58" s="10"/>
      <c r="W58" s="83"/>
      <c r="X58" s="53"/>
      <c r="Y58" s="83"/>
      <c r="Z58" s="47"/>
      <c r="AA58" s="83"/>
      <c r="AB58" s="85"/>
      <c r="AC58" s="83"/>
      <c r="AD58" s="47"/>
      <c r="AE58" s="83"/>
      <c r="AF58" s="47"/>
      <c r="AG58" s="83"/>
      <c r="AH58" s="47"/>
      <c r="AI58" s="83"/>
      <c r="AJ58" s="10"/>
      <c r="AK58" s="83"/>
      <c r="AL58" s="47"/>
      <c r="AM58" s="83"/>
      <c r="AN58" s="83"/>
      <c r="AO58" s="83"/>
      <c r="AP58" s="10"/>
      <c r="AQ58" s="10"/>
      <c r="AR58" s="83"/>
      <c r="AS58" s="84"/>
      <c r="AT58" s="74"/>
      <c r="AU58" s="10"/>
      <c r="AV58" s="33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</row>
    <row r="59" spans="1:257" ht="12" customHeight="1">
      <c r="A59" s="10"/>
      <c r="B59" s="10"/>
      <c r="C59" s="83"/>
      <c r="D59" s="10"/>
      <c r="E59" s="83"/>
      <c r="F59" s="10"/>
      <c r="G59" s="83"/>
      <c r="H59" s="10"/>
      <c r="I59" s="83"/>
      <c r="J59" s="10"/>
      <c r="K59" s="83"/>
      <c r="L59" s="85"/>
      <c r="M59" s="83"/>
      <c r="N59" s="10"/>
      <c r="O59" s="83"/>
      <c r="P59" s="10"/>
      <c r="Q59" s="83"/>
      <c r="R59" s="47"/>
      <c r="S59" s="83"/>
      <c r="T59" s="10"/>
      <c r="U59" s="83"/>
      <c r="V59" s="10"/>
      <c r="W59" s="83"/>
      <c r="X59" s="53"/>
      <c r="Y59" s="83"/>
      <c r="Z59" s="47"/>
      <c r="AA59" s="83"/>
      <c r="AB59" s="85"/>
      <c r="AC59" s="83"/>
      <c r="AD59" s="47"/>
      <c r="AE59" s="83"/>
      <c r="AF59" s="47"/>
      <c r="AG59" s="83"/>
      <c r="AH59" s="47"/>
      <c r="AI59" s="83"/>
      <c r="AJ59" s="10"/>
      <c r="AK59" s="83"/>
      <c r="AL59" s="47"/>
      <c r="AM59" s="83"/>
      <c r="AN59" s="83"/>
      <c r="AO59" s="83"/>
      <c r="AP59" s="10"/>
      <c r="AQ59" s="10"/>
      <c r="AR59" s="83"/>
      <c r="AS59" s="84"/>
      <c r="AT59" s="74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</row>
    <row r="60" spans="1:257" ht="12" customHeight="1" thickBot="1">
      <c r="A60" s="1" t="s">
        <v>42</v>
      </c>
      <c r="B60" s="2" t="s">
        <v>1</v>
      </c>
      <c r="C60" s="3"/>
      <c r="D60" s="2" t="s">
        <v>2</v>
      </c>
      <c r="E60" s="3"/>
      <c r="F60" s="2" t="s">
        <v>43</v>
      </c>
      <c r="G60" s="3"/>
      <c r="H60" s="2" t="s">
        <v>44</v>
      </c>
      <c r="I60" s="3"/>
      <c r="J60" s="2" t="s">
        <v>5</v>
      </c>
      <c r="K60" s="3"/>
      <c r="L60" s="4" t="s">
        <v>6</v>
      </c>
      <c r="M60" s="3"/>
      <c r="N60" s="5" t="s">
        <v>7</v>
      </c>
      <c r="O60" s="3"/>
      <c r="P60" s="4" t="s">
        <v>8</v>
      </c>
      <c r="Q60" s="3"/>
      <c r="R60" s="2" t="s">
        <v>9</v>
      </c>
      <c r="S60" s="3"/>
      <c r="T60" s="4" t="s">
        <v>10</v>
      </c>
      <c r="U60" s="3"/>
      <c r="V60" s="5" t="s">
        <v>11</v>
      </c>
      <c r="W60" s="3"/>
      <c r="X60" s="4" t="s">
        <v>12</v>
      </c>
      <c r="Y60" s="3"/>
      <c r="Z60" s="4" t="s">
        <v>45</v>
      </c>
      <c r="AA60" s="3"/>
      <c r="AB60" s="4" t="s">
        <v>14</v>
      </c>
      <c r="AC60" s="3"/>
      <c r="AD60" s="4" t="s">
        <v>46</v>
      </c>
      <c r="AE60" s="3"/>
      <c r="AF60" s="4" t="s">
        <v>16</v>
      </c>
      <c r="AG60" s="3"/>
      <c r="AH60" s="86" t="s">
        <v>17</v>
      </c>
      <c r="AI60" s="3"/>
      <c r="AJ60" s="172" t="s">
        <v>65</v>
      </c>
      <c r="AK60" s="223"/>
      <c r="AL60" s="225" t="s">
        <v>66</v>
      </c>
      <c r="AM60" s="226"/>
      <c r="AN60" s="195"/>
      <c r="AO60" s="7"/>
      <c r="AP60" s="7"/>
      <c r="AQ60" s="7"/>
      <c r="AR60" s="8"/>
      <c r="AS60" s="7"/>
      <c r="AT60" s="9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</row>
    <row r="61" spans="1:257" ht="12" customHeight="1" thickTop="1" thickBot="1">
      <c r="A61" s="11" t="s">
        <v>18</v>
      </c>
      <c r="B61" s="12" t="s">
        <v>19</v>
      </c>
      <c r="C61" s="69" t="s">
        <v>20</v>
      </c>
      <c r="D61" s="12" t="s">
        <v>19</v>
      </c>
      <c r="E61" s="69" t="s">
        <v>20</v>
      </c>
      <c r="F61" s="12" t="s">
        <v>19</v>
      </c>
      <c r="G61" s="69" t="s">
        <v>20</v>
      </c>
      <c r="H61" s="12" t="s">
        <v>19</v>
      </c>
      <c r="I61" s="69" t="s">
        <v>20</v>
      </c>
      <c r="J61" s="12" t="s">
        <v>19</v>
      </c>
      <c r="K61" s="69" t="s">
        <v>20</v>
      </c>
      <c r="L61" s="15" t="s">
        <v>19</v>
      </c>
      <c r="M61" s="69" t="s">
        <v>20</v>
      </c>
      <c r="N61" s="16" t="s">
        <v>21</v>
      </c>
      <c r="O61" s="69" t="s">
        <v>20</v>
      </c>
      <c r="P61" s="15" t="s">
        <v>19</v>
      </c>
      <c r="Q61" s="69" t="s">
        <v>20</v>
      </c>
      <c r="R61" s="12" t="s">
        <v>19</v>
      </c>
      <c r="S61" s="69" t="s">
        <v>20</v>
      </c>
      <c r="T61" s="15" t="s">
        <v>19</v>
      </c>
      <c r="U61" s="69" t="s">
        <v>20</v>
      </c>
      <c r="V61" s="16" t="s">
        <v>22</v>
      </c>
      <c r="W61" s="69" t="s">
        <v>20</v>
      </c>
      <c r="X61" s="15" t="s">
        <v>19</v>
      </c>
      <c r="Y61" s="69" t="s">
        <v>20</v>
      </c>
      <c r="Z61" s="15" t="s">
        <v>19</v>
      </c>
      <c r="AA61" s="69" t="s">
        <v>20</v>
      </c>
      <c r="AB61" s="15" t="s">
        <v>19</v>
      </c>
      <c r="AC61" s="69" t="s">
        <v>20</v>
      </c>
      <c r="AD61" s="15" t="s">
        <v>19</v>
      </c>
      <c r="AE61" s="69" t="s">
        <v>20</v>
      </c>
      <c r="AF61" s="15" t="s">
        <v>19</v>
      </c>
      <c r="AG61" s="69" t="s">
        <v>20</v>
      </c>
      <c r="AH61" s="56" t="s">
        <v>19</v>
      </c>
      <c r="AI61" s="69" t="s">
        <v>20</v>
      </c>
      <c r="AJ61" s="15" t="s">
        <v>19</v>
      </c>
      <c r="AK61" s="69" t="s">
        <v>20</v>
      </c>
      <c r="AL61" s="175" t="s">
        <v>19</v>
      </c>
      <c r="AM61" s="224" t="s">
        <v>20</v>
      </c>
      <c r="AN61" s="7"/>
      <c r="AO61" s="17" t="s">
        <v>23</v>
      </c>
      <c r="AP61" s="18" t="s">
        <v>24</v>
      </c>
      <c r="AQ61" s="19" t="s">
        <v>25</v>
      </c>
      <c r="AR61" s="20" t="s">
        <v>26</v>
      </c>
      <c r="AS61" s="21" t="s">
        <v>27</v>
      </c>
      <c r="AT61" s="22" t="s">
        <v>20</v>
      </c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</row>
    <row r="62" spans="1:257" ht="12" customHeight="1" thickTop="1">
      <c r="A62" s="23" t="s">
        <v>34</v>
      </c>
      <c r="B62" s="45">
        <v>4.2636574074074078E-3</v>
      </c>
      <c r="C62" s="46">
        <f t="shared" ref="C62:C71" si="60">IF(B62="DNF","DNF",IF(B62&gt;0,B$78/B62*100,""))</f>
        <v>58.955426461805736</v>
      </c>
      <c r="D62" s="45">
        <v>3.0770833333333331E-3</v>
      </c>
      <c r="E62" s="46">
        <f t="shared" ref="E62:E71" si="61">IF(D62="DNF","DNF",IF(D62&gt;0,D$78/D62*100,""))</f>
        <v>67.524260889189804</v>
      </c>
      <c r="F62" s="45">
        <v>3.7813657407407401E-3</v>
      </c>
      <c r="G62" s="46">
        <f t="shared" ref="G62:G71" si="62">IF(F62="DNF","DNF",IF(F62&gt;0,F$78/F62*100,""))</f>
        <v>68.874537051207497</v>
      </c>
      <c r="H62" s="26">
        <v>2.0575231481481482E-3</v>
      </c>
      <c r="I62" s="46">
        <f t="shared" ref="I62:I71" si="63">IF(H62="DNF","DNF",IF(H62&gt;0,H$78/H62*100,""))</f>
        <v>61.090172695055415</v>
      </c>
      <c r="J62" s="26">
        <v>1.4943287037037037E-3</v>
      </c>
      <c r="K62" s="46">
        <f t="shared" ref="K62:K71" si="64">IF(J62="DNF","DNF",IF(J62&gt;0,J$78/J62*100,""))</f>
        <v>64.212686856169157</v>
      </c>
      <c r="L62" s="45">
        <v>7.3357060185185183E-3</v>
      </c>
      <c r="M62" s="46">
        <f t="shared" ref="M62:M71" si="65">IF(L62="DNF","DNF",IF(L62&gt;0,L$78/L62*100,""))</f>
        <v>85.576794124375795</v>
      </c>
      <c r="N62" s="48">
        <v>4</v>
      </c>
      <c r="O62" s="46">
        <f t="shared" ref="O62:O71" si="66">IF(N62="DNF","DNF",IF(N62&lt;&gt;"",N62/N$78*100,""))</f>
        <v>19.047619047619047</v>
      </c>
      <c r="P62" s="26">
        <v>2.5081018518518519E-4</v>
      </c>
      <c r="Q62" s="46">
        <f t="shared" ref="Q62:Q71" si="67">IF(P62="DNF","DNF",IF(P62&gt;0,P$78/P62*100,""))</f>
        <v>100</v>
      </c>
      <c r="R62" s="49">
        <f>Birling!B39</f>
        <v>7.28</v>
      </c>
      <c r="S62" s="46">
        <f>Birling!C39</f>
        <v>21.10144927536232</v>
      </c>
      <c r="T62" s="26">
        <v>1.3387731481481482E-3</v>
      </c>
      <c r="U62" s="46">
        <f t="shared" ref="U62:U71" si="68">IF(T62="DNF","DNF",IF(T62&gt;0,T$78/T62*100,""))</f>
        <v>57.231780063975101</v>
      </c>
      <c r="V62" s="48">
        <v>5</v>
      </c>
      <c r="W62" s="46">
        <f t="shared" ref="W62:W71" si="69">IF(V62="DNF","DNF",IF(V62&lt;&gt;"",V62/V$78*100,""))</f>
        <v>25</v>
      </c>
      <c r="X62" s="26">
        <v>2.0559027777777776E-3</v>
      </c>
      <c r="Y62" s="46">
        <f t="shared" ref="Y62:Y71" si="70">IF(X62="DNF","DNF",IF(X62&gt;0,X$78/X62*100,""))</f>
        <v>26.144232393176825</v>
      </c>
      <c r="Z62" s="45">
        <v>2.8140046296296294E-3</v>
      </c>
      <c r="AA62" s="46">
        <f t="shared" ref="AA62:AA71" si="71">IF(Z62="DNF","DNF",IF(Z62&gt;0,Z$78/Z62*100,""))</f>
        <v>25.295109612141651</v>
      </c>
      <c r="AB62" s="45">
        <v>6.5243055555555551E-4</v>
      </c>
      <c r="AC62" s="46">
        <f t="shared" ref="AC62:AC71" si="72">IF(AB62="DNF","DNF",IF(AB62&gt;0,AB$78/AB62*100,""))</f>
        <v>100</v>
      </c>
      <c r="AD62" s="26">
        <v>1.7790509259259261E-3</v>
      </c>
      <c r="AE62" s="46">
        <f t="shared" ref="AE62:AE71" si="73">IF(AD62="DNF","DNF",IF(AD62&gt;0,AD$78/AD62*100,""))</f>
        <v>57.432828052826757</v>
      </c>
      <c r="AF62" s="45">
        <v>6.8530092592592601E-3</v>
      </c>
      <c r="AG62" s="46">
        <f t="shared" ref="AG62:AG71" si="74">IF(AF62="DNF","DNF",IF(AF62&gt;0,AF$78/AF62*100,""))</f>
        <v>20.589427461577433</v>
      </c>
      <c r="AH62" s="45">
        <v>2.82662037037037E-3</v>
      </c>
      <c r="AI62" s="46">
        <f t="shared" ref="AI62:AI71" si="75">IF(AH62="DNF","DNF",IF(AH62&gt;0,AH$78/AH62*100,""))</f>
        <v>65.74400131029401</v>
      </c>
      <c r="AJ62" s="45">
        <v>2.699074074074074E-4</v>
      </c>
      <c r="AK62" s="46">
        <f t="shared" ref="AK62:AK71" si="76">IF(AJ62="DNF","DNF",IF(AJ62&gt;0,AJ$78/AJ62*100,""))</f>
        <v>45.54030874785591</v>
      </c>
      <c r="AL62" s="206">
        <v>1.7653935185185186E-3</v>
      </c>
      <c r="AM62" s="183">
        <f>IF(AL62="DNF","DNF",IF(AL62&gt;0,AL$78/AL62*100,""))</f>
        <v>34.288336720645113</v>
      </c>
      <c r="AN62" s="10"/>
      <c r="AO62" s="29" t="str">
        <f>A62</f>
        <v>UMO</v>
      </c>
      <c r="AP62" s="232">
        <f>SUM(C62,E62,G62,I62,K62,AI62,O62,Q62,U62,Y62,S62,,W62,AC62,AG62,AK62,AA62,AE62,M62,AM62)</f>
        <v>1003.6489707632776</v>
      </c>
      <c r="AQ62" s="31">
        <f>RANK(AP62,$AP$62:$AP$73,0)</f>
        <v>5</v>
      </c>
      <c r="AR62" s="74">
        <v>1</v>
      </c>
      <c r="AS62" s="10" t="str">
        <f>INDEX($AO$62:$AO$71,MATCH(AR62,$AQ$62:$AQ$71,0))</f>
        <v>ESF</v>
      </c>
      <c r="AT62" s="33">
        <f>INDEX($AP$62:$AP$71,MATCH(AS62,$AO$62:$AO$71,0))</f>
        <v>1696.5326044189178</v>
      </c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</row>
    <row r="63" spans="1:257" ht="12" customHeight="1">
      <c r="A63" s="34" t="s">
        <v>29</v>
      </c>
      <c r="B63" s="35">
        <v>2.6993055555555555E-3</v>
      </c>
      <c r="C63" s="36">
        <f t="shared" si="60"/>
        <v>93.122373724380424</v>
      </c>
      <c r="D63" s="35">
        <v>2.2332175925925926E-3</v>
      </c>
      <c r="E63" s="36">
        <f t="shared" si="61"/>
        <v>93.039647577092509</v>
      </c>
      <c r="F63" s="35">
        <v>2.6043981481481478E-3</v>
      </c>
      <c r="G63" s="36">
        <f t="shared" si="62"/>
        <v>100</v>
      </c>
      <c r="H63" s="37">
        <v>1.4956018518518519E-3</v>
      </c>
      <c r="I63" s="36">
        <f t="shared" si="63"/>
        <v>84.042717845534739</v>
      </c>
      <c r="J63" s="37">
        <v>1.1250578703703702E-3</v>
      </c>
      <c r="K63" s="36">
        <f t="shared" si="64"/>
        <v>85.288822591430488</v>
      </c>
      <c r="L63" s="35">
        <v>7.9124421296296286E-3</v>
      </c>
      <c r="M63" s="36">
        <f t="shared" si="65"/>
        <v>79.339121022182894</v>
      </c>
      <c r="N63" s="39">
        <v>12</v>
      </c>
      <c r="O63" s="36">
        <f t="shared" si="66"/>
        <v>57.142857142857139</v>
      </c>
      <c r="P63" s="37">
        <v>6.2361111111111113E-4</v>
      </c>
      <c r="Q63" s="36">
        <f t="shared" si="67"/>
        <v>40.219005196733484</v>
      </c>
      <c r="R63" s="40">
        <f>Birling!B40</f>
        <v>27.6</v>
      </c>
      <c r="S63" s="36">
        <f>Birling!C40</f>
        <v>80</v>
      </c>
      <c r="T63" s="37">
        <v>1.9162037037037036E-3</v>
      </c>
      <c r="U63" s="36">
        <f t="shared" si="68"/>
        <v>39.985503744865916</v>
      </c>
      <c r="V63" s="39">
        <v>15</v>
      </c>
      <c r="W63" s="36">
        <f t="shared" si="69"/>
        <v>75</v>
      </c>
      <c r="X63" s="37">
        <v>1.609490740740741E-3</v>
      </c>
      <c r="Y63" s="36">
        <f t="shared" si="70"/>
        <v>33.395656551129001</v>
      </c>
      <c r="Z63" s="35">
        <v>1.3181712962962962E-3</v>
      </c>
      <c r="AA63" s="36">
        <f t="shared" si="71"/>
        <v>53.999473175871451</v>
      </c>
      <c r="AB63" s="35">
        <v>8.0648148148148148E-4</v>
      </c>
      <c r="AC63" s="36">
        <f t="shared" si="72"/>
        <v>80.898392652123988</v>
      </c>
      <c r="AD63" s="37">
        <v>1.043287037037037E-3</v>
      </c>
      <c r="AE63" s="36">
        <f t="shared" si="73"/>
        <v>97.936543155092096</v>
      </c>
      <c r="AF63" s="35">
        <v>5.2701388888888893E-3</v>
      </c>
      <c r="AG63" s="36">
        <f t="shared" si="74"/>
        <v>26.773400096631089</v>
      </c>
      <c r="AH63" s="35">
        <v>2.5527777777777779E-3</v>
      </c>
      <c r="AI63" s="36">
        <f t="shared" si="75"/>
        <v>72.796517954298139</v>
      </c>
      <c r="AJ63" s="35">
        <v>1.261574074074074E-4</v>
      </c>
      <c r="AK63" s="36">
        <f t="shared" si="76"/>
        <v>97.431192660550451</v>
      </c>
      <c r="AL63" s="207">
        <v>8.3888888888888891E-4</v>
      </c>
      <c r="AM63" s="218">
        <f t="shared" ref="AM63:AM77" si="77">IF(AL63="DNF","DNF",IF(AL63&gt;0,AL$78/AL63*100,""))</f>
        <v>72.157836644591598</v>
      </c>
      <c r="AN63" s="7"/>
      <c r="AO63" s="41" t="str">
        <f>A63</f>
        <v>FLCC</v>
      </c>
      <c r="AP63" s="232">
        <f t="shared" ref="AP63:AP67" si="78">SUM(C63,E63,G63,I63,K63,AI63,O63,Q63,U63,Y63,S63,,W63,AC63,AG63,AK63,AA63,AE63,M63,AM63)</f>
        <v>1362.5690617353653</v>
      </c>
      <c r="AQ63" s="57">
        <f>RANK(AP63,$AP$62:$AP$73,0)</f>
        <v>3</v>
      </c>
      <c r="AR63" s="8">
        <v>2</v>
      </c>
      <c r="AS63" s="7" t="str">
        <f>INDEX($AO$62:$AO$71,MATCH(AR63,$AQ$62:$AQ$71,0))</f>
        <v>Colby</v>
      </c>
      <c r="AT63" s="9">
        <f>INDEX($AP$62:$AP$71,MATCH(AS63,$AO$62:$AO$71,0))</f>
        <v>1490.6865527776195</v>
      </c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</row>
    <row r="64" spans="1:257" ht="12" customHeight="1">
      <c r="A64" s="23" t="s">
        <v>47</v>
      </c>
      <c r="B64" s="45">
        <v>2.6087962962962966E-3</v>
      </c>
      <c r="C64" s="46">
        <f t="shared" si="60"/>
        <v>96.353149955634422</v>
      </c>
      <c r="D64" s="45">
        <v>2.261342592592593E-3</v>
      </c>
      <c r="E64" s="46">
        <f t="shared" si="61"/>
        <v>91.882485413041238</v>
      </c>
      <c r="F64" s="45">
        <v>3.2223379629629629E-3</v>
      </c>
      <c r="G64" s="46">
        <f t="shared" si="62"/>
        <v>80.823246291440682</v>
      </c>
      <c r="H64" s="26">
        <v>1.3466435185185185E-3</v>
      </c>
      <c r="I64" s="46">
        <f t="shared" si="63"/>
        <v>93.339063171465412</v>
      </c>
      <c r="J64" s="26">
        <v>1.2730324074074074E-3</v>
      </c>
      <c r="K64" s="46">
        <f t="shared" si="64"/>
        <v>75.375034094008541</v>
      </c>
      <c r="L64" s="45">
        <v>7.351736111111111E-3</v>
      </c>
      <c r="M64" s="46">
        <f t="shared" si="65"/>
        <v>85.390198208410084</v>
      </c>
      <c r="N64" s="48">
        <v>17</v>
      </c>
      <c r="O64" s="46">
        <f t="shared" si="66"/>
        <v>80.952380952380949</v>
      </c>
      <c r="P64" s="26">
        <v>3.0000000000000003E-4</v>
      </c>
      <c r="Q64" s="46">
        <f t="shared" si="67"/>
        <v>83.603395061728392</v>
      </c>
      <c r="R64" s="49">
        <f>Birling!B41</f>
        <v>188.4</v>
      </c>
      <c r="S64" s="46">
        <f>Birling!C41</f>
        <v>90</v>
      </c>
      <c r="T64" s="26">
        <v>7.6620370370370373E-4</v>
      </c>
      <c r="U64" s="46">
        <f t="shared" si="68"/>
        <v>100</v>
      </c>
      <c r="V64" s="48">
        <v>2</v>
      </c>
      <c r="W64" s="46">
        <f t="shared" si="69"/>
        <v>10</v>
      </c>
      <c r="X64" s="26">
        <v>1.1185185185185185E-3</v>
      </c>
      <c r="Y64" s="46">
        <f t="shared" si="70"/>
        <v>48.054635761589395</v>
      </c>
      <c r="Z64" s="45">
        <v>7.1180555555555548E-4</v>
      </c>
      <c r="AA64" s="46">
        <f t="shared" si="71"/>
        <v>100</v>
      </c>
      <c r="AB64" s="45">
        <v>9.9606481481481486E-4</v>
      </c>
      <c r="AC64" s="46">
        <f t="shared" si="72"/>
        <v>65.500813386009753</v>
      </c>
      <c r="AD64" s="26">
        <v>1.2606481481481481E-3</v>
      </c>
      <c r="AE64" s="46">
        <f t="shared" si="73"/>
        <v>81.050312155710628</v>
      </c>
      <c r="AF64" s="45">
        <v>2.0136574074074071E-3</v>
      </c>
      <c r="AG64" s="46">
        <f t="shared" si="74"/>
        <v>70.071272560064386</v>
      </c>
      <c r="AH64" s="26">
        <v>1.8583333333333334E-3</v>
      </c>
      <c r="AI64" s="46">
        <f t="shared" si="75"/>
        <v>100</v>
      </c>
      <c r="AJ64" s="45">
        <v>1.3854166666666667E-4</v>
      </c>
      <c r="AK64" s="46">
        <f t="shared" si="76"/>
        <v>88.721804511278194</v>
      </c>
      <c r="AL64" s="208">
        <v>1.2211805555555554E-3</v>
      </c>
      <c r="AM64" s="183">
        <f t="shared" si="77"/>
        <v>49.568761254857357</v>
      </c>
      <c r="AN64" s="10"/>
      <c r="AO64" s="29" t="str">
        <f>A64</f>
        <v>Colby</v>
      </c>
      <c r="AP64" s="232">
        <f t="shared" si="78"/>
        <v>1490.6865527776195</v>
      </c>
      <c r="AQ64" s="31">
        <f>RANK(AP64,$AP$62:$AP$73,0)</f>
        <v>2</v>
      </c>
      <c r="AR64" s="74">
        <v>3</v>
      </c>
      <c r="AS64" s="10" t="str">
        <f>INDEX($AO$62:$AO$71,MATCH(AR64,$AQ$62:$AQ$71,0))</f>
        <v>FLCC</v>
      </c>
      <c r="AT64" s="33">
        <f>INDEX($AP$62:$AP$71,MATCH(AS64,$AO$62:$AO$71,0))</f>
        <v>1362.5690617353653</v>
      </c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</row>
    <row r="65" spans="1:255" ht="12" customHeight="1">
      <c r="A65" s="34" t="s">
        <v>33</v>
      </c>
      <c r="B65" s="35">
        <v>3.5505787037037038E-3</v>
      </c>
      <c r="C65" s="36">
        <f t="shared" si="60"/>
        <v>70.795710141148092</v>
      </c>
      <c r="D65" s="35">
        <v>3.5964120370370369E-3</v>
      </c>
      <c r="E65" s="36">
        <f t="shared" si="61"/>
        <v>57.773629839410425</v>
      </c>
      <c r="F65" s="35">
        <v>3.1268518518518516E-3</v>
      </c>
      <c r="G65" s="36">
        <f t="shared" si="62"/>
        <v>83.291382884216759</v>
      </c>
      <c r="H65" s="37">
        <v>1.9125000000000001E-3</v>
      </c>
      <c r="I65" s="36">
        <f t="shared" si="63"/>
        <v>65.722585330428458</v>
      </c>
      <c r="J65" s="37">
        <v>1.2859953703703705E-3</v>
      </c>
      <c r="K65" s="36">
        <f t="shared" si="64"/>
        <v>74.615246152461509</v>
      </c>
      <c r="L65" s="35">
        <v>8.0470486111111107E-3</v>
      </c>
      <c r="M65" s="36">
        <f t="shared" si="65"/>
        <v>78.01198104319937</v>
      </c>
      <c r="N65" s="39">
        <v>8</v>
      </c>
      <c r="O65" s="36">
        <f t="shared" si="66"/>
        <v>38.095238095238095</v>
      </c>
      <c r="P65" s="37">
        <v>4.5150462962962961E-4</v>
      </c>
      <c r="Q65" s="36">
        <f t="shared" si="67"/>
        <v>55.549859010510126</v>
      </c>
      <c r="R65" s="40">
        <f>Birling!B42</f>
        <v>2.9</v>
      </c>
      <c r="S65" s="36">
        <f>Birling!C42</f>
        <v>8.4057971014492754</v>
      </c>
      <c r="T65" s="37">
        <v>1.7400462962962962E-3</v>
      </c>
      <c r="U65" s="36">
        <f t="shared" si="68"/>
        <v>44.033524012238928</v>
      </c>
      <c r="V65" s="39">
        <v>7</v>
      </c>
      <c r="W65" s="36">
        <f t="shared" si="69"/>
        <v>35</v>
      </c>
      <c r="X65" s="37">
        <v>5.3251157407407414E-3</v>
      </c>
      <c r="Y65" s="36">
        <f t="shared" si="70"/>
        <v>10.093677324001822</v>
      </c>
      <c r="Z65" s="35">
        <v>1.6336805555555555E-3</v>
      </c>
      <c r="AA65" s="36">
        <f t="shared" si="71"/>
        <v>43.570669500531345</v>
      </c>
      <c r="AB65" s="35">
        <v>9.5081018518518518E-4</v>
      </c>
      <c r="AC65" s="36">
        <f t="shared" si="72"/>
        <v>68.618381010346923</v>
      </c>
      <c r="AD65" s="37">
        <v>1.5702546296296296E-3</v>
      </c>
      <c r="AE65" s="36">
        <f t="shared" si="73"/>
        <v>65.069654308247962</v>
      </c>
      <c r="AF65" s="35">
        <v>4.6166666666666665E-3</v>
      </c>
      <c r="AG65" s="36">
        <f t="shared" si="74"/>
        <v>30.563076614520661</v>
      </c>
      <c r="AH65" s="37">
        <v>2.1430555555555556E-3</v>
      </c>
      <c r="AI65" s="36">
        <f t="shared" si="75"/>
        <v>86.714193130265713</v>
      </c>
      <c r="AJ65" s="35">
        <v>7.993055555555556E-4</v>
      </c>
      <c r="AK65" s="36">
        <f t="shared" si="76"/>
        <v>15.377932232841005</v>
      </c>
      <c r="AL65" s="207">
        <v>8.804398148148148E-4</v>
      </c>
      <c r="AM65" s="218">
        <f t="shared" si="77"/>
        <v>68.752464835020362</v>
      </c>
      <c r="AN65" s="7"/>
      <c r="AO65" s="41" t="str">
        <f>A65</f>
        <v>Unity</v>
      </c>
      <c r="AP65" s="232">
        <f t="shared" si="78"/>
        <v>1000.0550025660768</v>
      </c>
      <c r="AQ65" s="57">
        <f>RANK(AP65,$AP$62:$AP$73,0)</f>
        <v>6</v>
      </c>
      <c r="AR65" s="8">
        <v>4</v>
      </c>
      <c r="AS65" s="7" t="str">
        <f>INDEX($AO$62:$AO$71,MATCH(AR65,$AQ$62:$AQ$71,0))</f>
        <v>UNH</v>
      </c>
      <c r="AT65" s="9">
        <f>INDEX($AP$62:$AP$71,MATCH(AS65,$AO$62:$AO$71,0))</f>
        <v>1305.4951297695663</v>
      </c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</row>
    <row r="66" spans="1:255" ht="12" customHeight="1">
      <c r="A66" s="23" t="s">
        <v>32</v>
      </c>
      <c r="B66" s="45">
        <v>2.5136574074074076E-3</v>
      </c>
      <c r="C66" s="46">
        <f t="shared" si="60"/>
        <v>100</v>
      </c>
      <c r="D66" s="45">
        <v>2.0777777777777778E-3</v>
      </c>
      <c r="E66" s="46">
        <f t="shared" si="61"/>
        <v>100</v>
      </c>
      <c r="F66" s="45">
        <v>2.8041666666666666E-3</v>
      </c>
      <c r="G66" s="46">
        <f t="shared" si="62"/>
        <v>92.876011226679864</v>
      </c>
      <c r="H66" s="26">
        <v>1.2569444444444444E-3</v>
      </c>
      <c r="I66" s="46">
        <f t="shared" si="63"/>
        <v>100</v>
      </c>
      <c r="J66" s="26">
        <v>9.5954861111111111E-4</v>
      </c>
      <c r="K66" s="46">
        <f t="shared" si="64"/>
        <v>100</v>
      </c>
      <c r="L66" s="45">
        <v>6.2776620370370373E-3</v>
      </c>
      <c r="M66" s="46">
        <f t="shared" si="65"/>
        <v>100</v>
      </c>
      <c r="N66" s="48">
        <v>13</v>
      </c>
      <c r="O66" s="46">
        <f t="shared" si="66"/>
        <v>61.904761904761905</v>
      </c>
      <c r="P66" s="26">
        <v>3.5324074074074077E-4</v>
      </c>
      <c r="Q66" s="46">
        <f t="shared" si="67"/>
        <v>71.00262123197902</v>
      </c>
      <c r="R66" s="49">
        <f>Birling!B43</f>
        <v>300</v>
      </c>
      <c r="S66" s="46">
        <f>Birling!C43</f>
        <v>100</v>
      </c>
      <c r="T66" s="26">
        <v>1.5266203703703702E-3</v>
      </c>
      <c r="U66" s="46">
        <f t="shared" si="68"/>
        <v>50.189537528430641</v>
      </c>
      <c r="V66" s="48">
        <v>20</v>
      </c>
      <c r="W66" s="46">
        <f t="shared" si="69"/>
        <v>100</v>
      </c>
      <c r="X66" s="26">
        <v>5.3749999999999989E-4</v>
      </c>
      <c r="Y66" s="46">
        <f t="shared" si="70"/>
        <v>100</v>
      </c>
      <c r="Z66" s="45">
        <v>1.0018518518518519E-3</v>
      </c>
      <c r="AA66" s="46">
        <f t="shared" si="71"/>
        <v>71.048983364140469</v>
      </c>
      <c r="AB66" s="45">
        <v>6.5243055555555551E-4</v>
      </c>
      <c r="AC66" s="46">
        <f t="shared" si="72"/>
        <v>100</v>
      </c>
      <c r="AD66" s="26">
        <v>1.0217592592592594E-3</v>
      </c>
      <c r="AE66" s="46">
        <f t="shared" si="73"/>
        <v>100</v>
      </c>
      <c r="AF66" s="45">
        <v>1.4109953703703704E-3</v>
      </c>
      <c r="AG66" s="46">
        <f t="shared" si="74"/>
        <v>100</v>
      </c>
      <c r="AH66" s="26">
        <v>2.2431712962962965E-3</v>
      </c>
      <c r="AI66" s="46">
        <f t="shared" si="75"/>
        <v>82.844022496259214</v>
      </c>
      <c r="AJ66" s="45">
        <v>1.84375E-4</v>
      </c>
      <c r="AK66" s="46">
        <f t="shared" si="76"/>
        <v>66.666666666666657</v>
      </c>
      <c r="AL66" s="208">
        <v>6.0532407407407399E-4</v>
      </c>
      <c r="AM66" s="183">
        <f t="shared" si="77"/>
        <v>100</v>
      </c>
      <c r="AN66" s="10"/>
      <c r="AO66" s="29" t="str">
        <f>A66</f>
        <v>ESF</v>
      </c>
      <c r="AP66" s="232">
        <f t="shared" si="78"/>
        <v>1696.5326044189178</v>
      </c>
      <c r="AQ66" s="31">
        <f>RANK(AP66,$AP$62:$AP$73,0)</f>
        <v>1</v>
      </c>
      <c r="AR66" s="74">
        <v>5</v>
      </c>
      <c r="AS66" s="10" t="str">
        <f>INDEX($AO$62:$AO$71,MATCH(AR66,$AQ$62:$AQ$71,0))</f>
        <v>UMO</v>
      </c>
      <c r="AT66" s="33">
        <f>INDEX($AP$62:$AP$71,MATCH(AS66,$AO$62:$AO$71,0))</f>
        <v>1003.6489707632776</v>
      </c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</row>
    <row r="67" spans="1:255" ht="12" customHeight="1">
      <c r="A67" s="34" t="s">
        <v>52</v>
      </c>
      <c r="B67" s="35">
        <v>3.362962962962963E-3</v>
      </c>
      <c r="C67" s="36">
        <f t="shared" si="60"/>
        <v>74.745319383259911</v>
      </c>
      <c r="D67" s="35">
        <v>2.5231481481481481E-3</v>
      </c>
      <c r="E67" s="36">
        <f t="shared" si="61"/>
        <v>82.348623853211009</v>
      </c>
      <c r="F67" s="35">
        <v>3.5526620370370369E-3</v>
      </c>
      <c r="G67" s="36">
        <f t="shared" si="62"/>
        <v>73.308356409838723</v>
      </c>
      <c r="H67" s="37">
        <v>2.0826388888888891E-3</v>
      </c>
      <c r="I67" s="36">
        <f t="shared" si="63"/>
        <v>60.353451150383449</v>
      </c>
      <c r="J67" s="37">
        <v>1.6298032407407407E-3</v>
      </c>
      <c r="K67" s="36">
        <f t="shared" si="64"/>
        <v>58.875119838085432</v>
      </c>
      <c r="L67" s="35">
        <v>7.615682870370369E-3</v>
      </c>
      <c r="M67" s="36">
        <f t="shared" si="65"/>
        <v>82.430717558644091</v>
      </c>
      <c r="N67" s="39">
        <v>21</v>
      </c>
      <c r="O67" s="36">
        <f t="shared" si="66"/>
        <v>100</v>
      </c>
      <c r="P67" s="37">
        <v>4.1678240740740738E-4</v>
      </c>
      <c r="Q67" s="36">
        <f t="shared" si="67"/>
        <v>60.177728408775344</v>
      </c>
      <c r="R67" s="40">
        <f>Birling!B44</f>
        <v>300</v>
      </c>
      <c r="S67" s="36">
        <f>Birling!C44</f>
        <v>85</v>
      </c>
      <c r="T67" s="37">
        <v>1.21875E-3</v>
      </c>
      <c r="U67" s="36">
        <f t="shared" si="68"/>
        <v>62.867996201329532</v>
      </c>
      <c r="V67" s="39">
        <v>8</v>
      </c>
      <c r="W67" s="36">
        <f t="shared" si="69"/>
        <v>40</v>
      </c>
      <c r="X67" s="37">
        <v>7.5081018518518509E-4</v>
      </c>
      <c r="Y67" s="36">
        <f t="shared" si="70"/>
        <v>71.589332511176195</v>
      </c>
      <c r="Z67" s="35">
        <v>2.0361111111111109E-3</v>
      </c>
      <c r="AA67" s="36">
        <f t="shared" si="71"/>
        <v>34.959072305593452</v>
      </c>
      <c r="AB67" s="35">
        <v>7.9571759259259255E-4</v>
      </c>
      <c r="AC67" s="36">
        <f t="shared" si="72"/>
        <v>81.992727272727279</v>
      </c>
      <c r="AD67" s="37">
        <v>1.7518518518518519E-3</v>
      </c>
      <c r="AE67" s="36">
        <f t="shared" si="73"/>
        <v>58.324524312896408</v>
      </c>
      <c r="AF67" s="35">
        <v>2.5418981481481482E-3</v>
      </c>
      <c r="AG67" s="36">
        <f t="shared" si="74"/>
        <v>55.50951643748293</v>
      </c>
      <c r="AH67" s="37">
        <v>3.5251157407407406E-3</v>
      </c>
      <c r="AI67" s="36">
        <f t="shared" si="75"/>
        <v>52.716945201431528</v>
      </c>
      <c r="AJ67" s="35">
        <v>1.2291666666666665E-4</v>
      </c>
      <c r="AK67" s="36">
        <f t="shared" si="76"/>
        <v>100</v>
      </c>
      <c r="AL67" s="207">
        <v>8.611111111111111E-4</v>
      </c>
      <c r="AM67" s="218">
        <f t="shared" si="77"/>
        <v>70.29569892473117</v>
      </c>
      <c r="AN67" s="7"/>
      <c r="AO67" s="41" t="str">
        <f>A67</f>
        <v>UNH</v>
      </c>
      <c r="AP67" s="232">
        <f t="shared" si="78"/>
        <v>1305.4951297695663</v>
      </c>
      <c r="AQ67" s="57">
        <f>RANK(AP67,$AP$62:$AP$73,0)</f>
        <v>4</v>
      </c>
      <c r="AR67" s="8">
        <v>6</v>
      </c>
      <c r="AS67" s="7" t="str">
        <f>INDEX($AO$62:$AO$71,MATCH(AR67,$AQ$62:$AQ$71,0))</f>
        <v>Unity</v>
      </c>
      <c r="AT67" s="9">
        <f>INDEX($AP$62:$AP$71,MATCH(AS67,$AO$62:$AO$71,0))</f>
        <v>1000.0550025660768</v>
      </c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</row>
    <row r="68" spans="1:255" ht="12" customHeight="1">
      <c r="A68" s="23"/>
      <c r="B68" s="45"/>
      <c r="C68" s="46" t="str">
        <f t="shared" si="60"/>
        <v/>
      </c>
      <c r="D68" s="45"/>
      <c r="E68" s="46" t="str">
        <f t="shared" si="61"/>
        <v/>
      </c>
      <c r="F68" s="45"/>
      <c r="G68" s="46" t="str">
        <f t="shared" si="62"/>
        <v/>
      </c>
      <c r="H68" s="26"/>
      <c r="I68" s="46" t="str">
        <f t="shared" si="63"/>
        <v/>
      </c>
      <c r="J68" s="26"/>
      <c r="K68" s="46" t="str">
        <f t="shared" si="64"/>
        <v/>
      </c>
      <c r="L68" s="45"/>
      <c r="M68" s="46" t="str">
        <f t="shared" si="65"/>
        <v/>
      </c>
      <c r="N68" s="48"/>
      <c r="O68" s="46" t="str">
        <f t="shared" si="66"/>
        <v/>
      </c>
      <c r="P68" s="26"/>
      <c r="Q68" s="46" t="str">
        <f t="shared" si="67"/>
        <v/>
      </c>
      <c r="R68" s="51"/>
      <c r="S68" s="46"/>
      <c r="T68" s="26"/>
      <c r="U68" s="46" t="str">
        <f t="shared" si="68"/>
        <v/>
      </c>
      <c r="V68" s="48"/>
      <c r="W68" s="46" t="str">
        <f t="shared" si="69"/>
        <v/>
      </c>
      <c r="X68" s="26"/>
      <c r="Y68" s="46" t="str">
        <f t="shared" si="70"/>
        <v/>
      </c>
      <c r="Z68" s="45"/>
      <c r="AA68" s="46" t="str">
        <f t="shared" si="71"/>
        <v/>
      </c>
      <c r="AB68" s="45"/>
      <c r="AC68" s="46" t="str">
        <f t="shared" si="72"/>
        <v/>
      </c>
      <c r="AD68" s="26"/>
      <c r="AE68" s="46" t="str">
        <f t="shared" si="73"/>
        <v/>
      </c>
      <c r="AF68" s="45"/>
      <c r="AG68" s="46" t="str">
        <f t="shared" si="74"/>
        <v/>
      </c>
      <c r="AH68" s="26"/>
      <c r="AI68" s="46" t="str">
        <f t="shared" si="75"/>
        <v/>
      </c>
      <c r="AJ68" s="45"/>
      <c r="AK68" s="46" t="str">
        <f t="shared" si="76"/>
        <v/>
      </c>
      <c r="AL68" s="208"/>
      <c r="AM68" s="183" t="str">
        <f t="shared" si="77"/>
        <v/>
      </c>
      <c r="AN68" s="10"/>
      <c r="AO68" s="29"/>
      <c r="AP68" s="30"/>
      <c r="AQ68" s="31"/>
      <c r="AR68" s="74"/>
      <c r="AS68" s="10"/>
      <c r="AT68" s="33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</row>
    <row r="69" spans="1:255" ht="12" customHeight="1">
      <c r="A69" s="34"/>
      <c r="B69" s="35"/>
      <c r="C69" s="36" t="str">
        <f t="shared" si="60"/>
        <v/>
      </c>
      <c r="D69" s="35"/>
      <c r="E69" s="36" t="str">
        <f t="shared" si="61"/>
        <v/>
      </c>
      <c r="F69" s="35"/>
      <c r="G69" s="36" t="str">
        <f t="shared" si="62"/>
        <v/>
      </c>
      <c r="H69" s="37"/>
      <c r="I69" s="36" t="str">
        <f t="shared" si="63"/>
        <v/>
      </c>
      <c r="J69" s="37"/>
      <c r="K69" s="36" t="str">
        <f t="shared" si="64"/>
        <v/>
      </c>
      <c r="L69" s="35"/>
      <c r="M69" s="36" t="str">
        <f t="shared" si="65"/>
        <v/>
      </c>
      <c r="N69" s="39"/>
      <c r="O69" s="36" t="str">
        <f t="shared" si="66"/>
        <v/>
      </c>
      <c r="P69" s="37"/>
      <c r="Q69" s="36" t="str">
        <f t="shared" si="67"/>
        <v/>
      </c>
      <c r="R69" s="6"/>
      <c r="S69" s="36"/>
      <c r="T69" s="37"/>
      <c r="U69" s="36" t="str">
        <f t="shared" si="68"/>
        <v/>
      </c>
      <c r="V69" s="39"/>
      <c r="W69" s="36" t="str">
        <f t="shared" si="69"/>
        <v/>
      </c>
      <c r="X69" s="37"/>
      <c r="Y69" s="36" t="str">
        <f t="shared" si="70"/>
        <v/>
      </c>
      <c r="Z69" s="35"/>
      <c r="AA69" s="36" t="str">
        <f t="shared" si="71"/>
        <v/>
      </c>
      <c r="AB69" s="35"/>
      <c r="AC69" s="36" t="str">
        <f t="shared" si="72"/>
        <v/>
      </c>
      <c r="AD69" s="37"/>
      <c r="AE69" s="36" t="str">
        <f t="shared" si="73"/>
        <v/>
      </c>
      <c r="AF69" s="35"/>
      <c r="AG69" s="36" t="str">
        <f t="shared" si="74"/>
        <v/>
      </c>
      <c r="AH69" s="37"/>
      <c r="AI69" s="36" t="str">
        <f t="shared" si="75"/>
        <v/>
      </c>
      <c r="AJ69" s="35"/>
      <c r="AK69" s="36" t="str">
        <f t="shared" si="76"/>
        <v/>
      </c>
      <c r="AL69" s="207"/>
      <c r="AM69" s="218" t="str">
        <f t="shared" si="77"/>
        <v/>
      </c>
      <c r="AN69" s="7"/>
      <c r="AO69" s="41"/>
      <c r="AP69" s="42"/>
      <c r="AQ69" s="57"/>
      <c r="AR69" s="8"/>
      <c r="AS69" s="7"/>
      <c r="AT69" s="9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</row>
    <row r="70" spans="1:255" ht="12" customHeight="1">
      <c r="A70" s="23"/>
      <c r="B70" s="45"/>
      <c r="C70" s="46" t="str">
        <f t="shared" si="60"/>
        <v/>
      </c>
      <c r="D70" s="45"/>
      <c r="E70" s="46" t="str">
        <f t="shared" si="61"/>
        <v/>
      </c>
      <c r="F70" s="45"/>
      <c r="G70" s="46" t="str">
        <f t="shared" si="62"/>
        <v/>
      </c>
      <c r="H70" s="26"/>
      <c r="I70" s="46" t="str">
        <f t="shared" si="63"/>
        <v/>
      </c>
      <c r="J70" s="26"/>
      <c r="K70" s="46" t="str">
        <f t="shared" si="64"/>
        <v/>
      </c>
      <c r="L70" s="45"/>
      <c r="M70" s="46" t="str">
        <f t="shared" si="65"/>
        <v/>
      </c>
      <c r="N70" s="48"/>
      <c r="O70" s="46" t="str">
        <f t="shared" si="66"/>
        <v/>
      </c>
      <c r="P70" s="26"/>
      <c r="Q70" s="46" t="str">
        <f t="shared" si="67"/>
        <v/>
      </c>
      <c r="R70" s="51"/>
      <c r="S70" s="46"/>
      <c r="T70" s="26"/>
      <c r="U70" s="46" t="str">
        <f t="shared" si="68"/>
        <v/>
      </c>
      <c r="V70" s="48"/>
      <c r="W70" s="46" t="str">
        <f t="shared" si="69"/>
        <v/>
      </c>
      <c r="X70" s="26"/>
      <c r="Y70" s="46" t="str">
        <f t="shared" si="70"/>
        <v/>
      </c>
      <c r="Z70" s="45"/>
      <c r="AA70" s="46" t="str">
        <f t="shared" si="71"/>
        <v/>
      </c>
      <c r="AB70" s="45"/>
      <c r="AC70" s="46" t="str">
        <f t="shared" si="72"/>
        <v/>
      </c>
      <c r="AD70" s="26"/>
      <c r="AE70" s="46" t="str">
        <f t="shared" si="73"/>
        <v/>
      </c>
      <c r="AF70" s="45"/>
      <c r="AG70" s="46" t="str">
        <f t="shared" si="74"/>
        <v/>
      </c>
      <c r="AH70" s="26"/>
      <c r="AI70" s="46" t="str">
        <f t="shared" si="75"/>
        <v/>
      </c>
      <c r="AJ70" s="45"/>
      <c r="AK70" s="46" t="str">
        <f t="shared" si="76"/>
        <v/>
      </c>
      <c r="AL70" s="208"/>
      <c r="AM70" s="183" t="str">
        <f t="shared" si="77"/>
        <v/>
      </c>
      <c r="AN70" s="10"/>
      <c r="AO70" s="29"/>
      <c r="AP70" s="30"/>
      <c r="AQ70" s="31"/>
      <c r="AR70" s="74"/>
      <c r="AS70" s="10"/>
      <c r="AT70" s="33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</row>
    <row r="71" spans="1:255" ht="12" customHeight="1">
      <c r="A71" s="34"/>
      <c r="B71" s="35"/>
      <c r="C71" s="36" t="str">
        <f t="shared" si="60"/>
        <v/>
      </c>
      <c r="D71" s="35"/>
      <c r="E71" s="36" t="str">
        <f t="shared" si="61"/>
        <v/>
      </c>
      <c r="F71" s="35"/>
      <c r="G71" s="36" t="str">
        <f t="shared" si="62"/>
        <v/>
      </c>
      <c r="H71" s="37"/>
      <c r="I71" s="36" t="str">
        <f t="shared" si="63"/>
        <v/>
      </c>
      <c r="J71" s="37"/>
      <c r="K71" s="36" t="str">
        <f t="shared" si="64"/>
        <v/>
      </c>
      <c r="L71" s="35"/>
      <c r="M71" s="36" t="str">
        <f t="shared" si="65"/>
        <v/>
      </c>
      <c r="N71" s="39"/>
      <c r="O71" s="36" t="str">
        <f t="shared" si="66"/>
        <v/>
      </c>
      <c r="P71" s="37"/>
      <c r="Q71" s="36" t="str">
        <f t="shared" si="67"/>
        <v/>
      </c>
      <c r="R71" s="6"/>
      <c r="S71" s="36"/>
      <c r="T71" s="37"/>
      <c r="U71" s="36" t="str">
        <f t="shared" si="68"/>
        <v/>
      </c>
      <c r="V71" s="39"/>
      <c r="W71" s="36" t="str">
        <f t="shared" si="69"/>
        <v/>
      </c>
      <c r="X71" s="37"/>
      <c r="Y71" s="36" t="str">
        <f t="shared" si="70"/>
        <v/>
      </c>
      <c r="Z71" s="35"/>
      <c r="AA71" s="36" t="str">
        <f t="shared" si="71"/>
        <v/>
      </c>
      <c r="AB71" s="35"/>
      <c r="AC71" s="36" t="str">
        <f t="shared" si="72"/>
        <v/>
      </c>
      <c r="AD71" s="37"/>
      <c r="AE71" s="36" t="str">
        <f t="shared" si="73"/>
        <v/>
      </c>
      <c r="AF71" s="35"/>
      <c r="AG71" s="36" t="str">
        <f t="shared" si="74"/>
        <v/>
      </c>
      <c r="AH71" s="37"/>
      <c r="AI71" s="36" t="str">
        <f t="shared" si="75"/>
        <v/>
      </c>
      <c r="AJ71" s="35"/>
      <c r="AK71" s="36" t="str">
        <f t="shared" si="76"/>
        <v/>
      </c>
      <c r="AL71" s="207"/>
      <c r="AM71" s="218" t="str">
        <f t="shared" si="77"/>
        <v/>
      </c>
      <c r="AN71" s="7"/>
      <c r="AO71" s="41"/>
      <c r="AP71" s="42"/>
      <c r="AQ71" s="57"/>
      <c r="AR71" s="8"/>
      <c r="AS71" s="7"/>
      <c r="AT71" s="9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</row>
    <row r="72" spans="1:255" ht="12" customHeight="1">
      <c r="A72" s="51"/>
      <c r="B72" s="45"/>
      <c r="C72" s="46"/>
      <c r="D72" s="45"/>
      <c r="E72" s="46"/>
      <c r="F72" s="45"/>
      <c r="G72" s="46"/>
      <c r="H72" s="26"/>
      <c r="I72" s="46"/>
      <c r="J72" s="87"/>
      <c r="K72" s="46"/>
      <c r="L72" s="45"/>
      <c r="M72" s="46"/>
      <c r="N72" s="48"/>
      <c r="O72" s="46"/>
      <c r="P72" s="26"/>
      <c r="Q72" s="46"/>
      <c r="R72" s="51"/>
      <c r="S72" s="46"/>
      <c r="T72" s="26"/>
      <c r="U72" s="46"/>
      <c r="V72" s="48"/>
      <c r="W72" s="46"/>
      <c r="X72" s="26"/>
      <c r="Y72" s="46"/>
      <c r="Z72" s="45"/>
      <c r="AA72" s="46"/>
      <c r="AB72" s="45"/>
      <c r="AC72" s="46"/>
      <c r="AD72" s="26"/>
      <c r="AE72" s="46"/>
      <c r="AF72" s="45"/>
      <c r="AG72" s="46"/>
      <c r="AH72" s="26"/>
      <c r="AI72" s="46"/>
      <c r="AJ72" s="45"/>
      <c r="AK72" s="46"/>
      <c r="AL72" s="208"/>
      <c r="AM72" s="183" t="str">
        <f t="shared" si="77"/>
        <v/>
      </c>
      <c r="AN72" s="10"/>
      <c r="AO72" s="29"/>
      <c r="AP72" s="30"/>
      <c r="AQ72" s="31"/>
      <c r="AR72" s="74"/>
      <c r="AS72" s="10"/>
      <c r="AT72" s="33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</row>
    <row r="73" spans="1:255" ht="12" customHeight="1">
      <c r="A73" s="60"/>
      <c r="B73" s="35"/>
      <c r="C73" s="36"/>
      <c r="D73" s="35"/>
      <c r="E73" s="36"/>
      <c r="F73" s="35"/>
      <c r="G73" s="36"/>
      <c r="H73" s="37"/>
      <c r="I73" s="36"/>
      <c r="J73" s="88"/>
      <c r="K73" s="36"/>
      <c r="L73" s="35"/>
      <c r="M73" s="36"/>
      <c r="N73" s="39"/>
      <c r="O73" s="36"/>
      <c r="P73" s="37"/>
      <c r="Q73" s="36"/>
      <c r="R73" s="6"/>
      <c r="S73" s="36"/>
      <c r="T73" s="37"/>
      <c r="U73" s="36"/>
      <c r="V73" s="39"/>
      <c r="W73" s="36"/>
      <c r="X73" s="37"/>
      <c r="Y73" s="36"/>
      <c r="Z73" s="35"/>
      <c r="AA73" s="36"/>
      <c r="AB73" s="35"/>
      <c r="AC73" s="36"/>
      <c r="AD73" s="37"/>
      <c r="AE73" s="36"/>
      <c r="AF73" s="35"/>
      <c r="AG73" s="36"/>
      <c r="AH73" s="37"/>
      <c r="AI73" s="36"/>
      <c r="AJ73" s="35"/>
      <c r="AK73" s="36"/>
      <c r="AL73" s="207"/>
      <c r="AM73" s="218" t="str">
        <f t="shared" si="77"/>
        <v/>
      </c>
      <c r="AN73" s="7"/>
      <c r="AO73" s="41"/>
      <c r="AP73" s="42"/>
      <c r="AQ73" s="57"/>
      <c r="AR73" s="8"/>
      <c r="AS73" s="7"/>
      <c r="AT73" s="9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</row>
    <row r="74" spans="1:255" ht="12" customHeight="1">
      <c r="A74" s="89"/>
      <c r="B74" s="90"/>
      <c r="C74" s="79"/>
      <c r="D74" s="90"/>
      <c r="E74" s="79"/>
      <c r="F74" s="90"/>
      <c r="G74" s="79"/>
      <c r="H74" s="90"/>
      <c r="I74" s="79"/>
      <c r="J74" s="90"/>
      <c r="K74" s="79"/>
      <c r="L74" s="91"/>
      <c r="M74" s="79"/>
      <c r="N74" s="90"/>
      <c r="O74" s="79"/>
      <c r="P74" s="92"/>
      <c r="Q74" s="79"/>
      <c r="R74" s="90"/>
      <c r="S74" s="79"/>
      <c r="T74" s="90"/>
      <c r="U74" s="79"/>
      <c r="V74" s="93"/>
      <c r="W74" s="79"/>
      <c r="X74" s="92"/>
      <c r="Y74" s="79"/>
      <c r="Z74" s="94"/>
      <c r="AA74" s="79"/>
      <c r="AB74" s="92"/>
      <c r="AC74" s="79"/>
      <c r="AD74" s="92"/>
      <c r="AE74" s="79"/>
      <c r="AF74" s="92"/>
      <c r="AG74" s="79"/>
      <c r="AH74" s="90"/>
      <c r="AI74" s="79"/>
      <c r="AJ74" s="92"/>
      <c r="AK74" s="79"/>
      <c r="AL74" s="208"/>
      <c r="AM74" s="183" t="str">
        <f t="shared" si="77"/>
        <v/>
      </c>
      <c r="AN74" s="10"/>
      <c r="AO74" s="95"/>
      <c r="AP74" s="96"/>
      <c r="AQ74" s="97"/>
      <c r="AR74" s="54"/>
      <c r="AS74" s="10"/>
      <c r="AT74" s="33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</row>
    <row r="75" spans="1:255" ht="12" customHeight="1">
      <c r="A75" s="139"/>
      <c r="B75" s="4"/>
      <c r="C75" s="36" t="str">
        <f t="shared" ref="C75:C76" si="79">IF(B75="DNF","DNF",IF(B75&gt;0,B$78/B75*100,""))</f>
        <v/>
      </c>
      <c r="D75" s="4"/>
      <c r="E75" s="98" t="str">
        <f t="shared" ref="E75:E76" si="80">IF(D75="DNF","DNF",IF(D75&gt;0,D$78/D75*100,""))</f>
        <v/>
      </c>
      <c r="F75" s="4"/>
      <c r="G75" s="98" t="str">
        <f t="shared" ref="G75:G76" si="81">IF(F75="DNF","DNF",IF(F75&gt;0,F$78/F75*100,""))</f>
        <v/>
      </c>
      <c r="H75" s="99"/>
      <c r="I75" s="98" t="str">
        <f t="shared" ref="I75:I76" si="82">IF(H75="DNF","DNF",IF(H75&gt;0,H$78/H75*100,""))</f>
        <v/>
      </c>
      <c r="J75" s="100"/>
      <c r="K75" s="98" t="str">
        <f t="shared" ref="K75:K76" si="83">IF(J75="DNF","DNF",IF(J75&gt;0,J$78/J75*100,""))</f>
        <v/>
      </c>
      <c r="L75" s="4"/>
      <c r="M75" s="98"/>
      <c r="N75" s="5"/>
      <c r="O75" s="98" t="str">
        <f t="shared" ref="O75:O76" si="84">IF(N75="DNF","DNF",IF(N75&lt;&gt;"",N75/N$78*100,""))</f>
        <v/>
      </c>
      <c r="P75" s="99"/>
      <c r="Q75" s="98" t="str">
        <f t="shared" ref="Q75:Q76" si="85">IF(P75="DNF","DNF",IF(P75&gt;0,P$78/P75*100,""))</f>
        <v/>
      </c>
      <c r="R75" s="101"/>
      <c r="S75" s="98"/>
      <c r="T75" s="99"/>
      <c r="U75" s="36" t="str">
        <f t="shared" ref="U75:U76" si="86">IF(T75="DNF","DNF",IF(T75&gt;0,T$78/T75*100,""))</f>
        <v/>
      </c>
      <c r="V75" s="5"/>
      <c r="W75" s="98"/>
      <c r="X75" s="102"/>
      <c r="Y75" s="98" t="str">
        <f t="shared" ref="Y75:Y76" si="87">IF(X75="DNF","DNF",IF(X75&gt;0,X$78/X75*100,""))</f>
        <v/>
      </c>
      <c r="Z75" s="86"/>
      <c r="AA75" s="98" t="str">
        <f t="shared" ref="AA75:AA76" si="88">IF(Z75="DNF","DNF",IF(Z75&gt;0,Z$78/Z75*100,""))</f>
        <v/>
      </c>
      <c r="AB75" s="4"/>
      <c r="AC75" s="98" t="str">
        <f t="shared" ref="AC75:AC76" si="89">IF(AB75="DNF","DNF",IF(AB75&gt;0,AB$78/AB75*100,""))</f>
        <v/>
      </c>
      <c r="AD75" s="99"/>
      <c r="AE75" s="98" t="str">
        <f t="shared" ref="AE75:AE76" si="90">IF(AD75="DNF","DNF",IF(AD75&gt;0,AD$78/AD75*100,""))</f>
        <v/>
      </c>
      <c r="AF75" s="4"/>
      <c r="AG75" s="98" t="str">
        <f t="shared" ref="AG75:AG76" si="91">IF(AF75="DNF","DNF",IF(AF75&gt;0,AF$78/AF75*100,""))</f>
        <v/>
      </c>
      <c r="AH75" s="99"/>
      <c r="AI75" s="98" t="str">
        <f t="shared" ref="AI75:AI76" si="92">IF(AH75="DNF","DNF",IF(AH75&gt;0,AH$78/AH75*100,""))</f>
        <v/>
      </c>
      <c r="AJ75" s="4"/>
      <c r="AK75" s="98" t="str">
        <f t="shared" ref="AK75:AK76" si="93">IF(AJ75="DNF","DNF",IF(AJ75&gt;0,AJ$78/AJ75*100,""))</f>
        <v/>
      </c>
      <c r="AL75" s="219"/>
      <c r="AM75" s="220" t="str">
        <f t="shared" si="77"/>
        <v/>
      </c>
      <c r="AN75" s="7"/>
      <c r="AO75" s="103"/>
      <c r="AP75" s="104"/>
      <c r="AQ75" s="105"/>
      <c r="AR75" s="58"/>
      <c r="AS75" s="7"/>
      <c r="AT75" s="9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</row>
    <row r="76" spans="1:255" ht="12" customHeight="1">
      <c r="A76" s="138"/>
      <c r="B76" s="76"/>
      <c r="C76" s="106" t="str">
        <f t="shared" si="79"/>
        <v/>
      </c>
      <c r="D76" s="76"/>
      <c r="E76" s="106" t="str">
        <f t="shared" si="80"/>
        <v/>
      </c>
      <c r="F76" s="76"/>
      <c r="G76" s="106" t="str">
        <f t="shared" si="81"/>
        <v/>
      </c>
      <c r="H76" s="107"/>
      <c r="I76" s="106" t="str">
        <f t="shared" si="82"/>
        <v/>
      </c>
      <c r="J76" s="108"/>
      <c r="K76" s="106" t="str">
        <f t="shared" si="83"/>
        <v/>
      </c>
      <c r="L76" s="76"/>
      <c r="M76" s="106" t="str">
        <f>IF(L76="DNF","DNF",IF(L76&gt;0,L$78/L76*100,""))</f>
        <v/>
      </c>
      <c r="N76" s="78"/>
      <c r="O76" s="106" t="str">
        <f t="shared" si="84"/>
        <v/>
      </c>
      <c r="P76" s="107"/>
      <c r="Q76" s="106" t="str">
        <f t="shared" si="85"/>
        <v/>
      </c>
      <c r="R76" s="109"/>
      <c r="S76" s="106"/>
      <c r="T76" s="107"/>
      <c r="U76" s="106" t="str">
        <f t="shared" si="86"/>
        <v/>
      </c>
      <c r="V76" s="78"/>
      <c r="W76" s="106"/>
      <c r="X76" s="107"/>
      <c r="Y76" s="106" t="str">
        <f t="shared" si="87"/>
        <v/>
      </c>
      <c r="Z76" s="92"/>
      <c r="AA76" s="106" t="str">
        <f t="shared" si="88"/>
        <v/>
      </c>
      <c r="AB76" s="76"/>
      <c r="AC76" s="106" t="str">
        <f t="shared" si="89"/>
        <v/>
      </c>
      <c r="AD76" s="107"/>
      <c r="AE76" s="106" t="str">
        <f t="shared" si="90"/>
        <v/>
      </c>
      <c r="AF76" s="76"/>
      <c r="AG76" s="106" t="str">
        <f t="shared" si="91"/>
        <v/>
      </c>
      <c r="AH76" s="107"/>
      <c r="AI76" s="106" t="str">
        <f t="shared" si="92"/>
        <v/>
      </c>
      <c r="AJ76" s="76"/>
      <c r="AK76" s="106" t="str">
        <f t="shared" si="93"/>
        <v/>
      </c>
      <c r="AL76" s="221"/>
      <c r="AM76" s="222" t="str">
        <f t="shared" si="77"/>
        <v/>
      </c>
      <c r="AN76" s="10"/>
      <c r="AO76" s="95"/>
      <c r="AP76" s="30"/>
      <c r="AQ76" s="31"/>
      <c r="AR76" s="54"/>
      <c r="AS76" s="10"/>
      <c r="AT76" s="33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</row>
    <row r="77" spans="1:255" ht="12" customHeight="1" thickBot="1">
      <c r="A77" s="60"/>
      <c r="B77" s="35"/>
      <c r="C77" s="36"/>
      <c r="D77" s="35"/>
      <c r="E77" s="36"/>
      <c r="F77" s="35"/>
      <c r="G77" s="36"/>
      <c r="H77" s="35"/>
      <c r="I77" s="36"/>
      <c r="J77" s="35"/>
      <c r="K77" s="36"/>
      <c r="L77" s="35"/>
      <c r="M77" s="36"/>
      <c r="N77" s="39"/>
      <c r="O77" s="36"/>
      <c r="P77" s="35"/>
      <c r="Q77" s="36"/>
      <c r="R77" s="6"/>
      <c r="S77" s="36"/>
      <c r="T77" s="35"/>
      <c r="U77" s="36"/>
      <c r="V77" s="39"/>
      <c r="W77" s="36"/>
      <c r="X77" s="35"/>
      <c r="Y77" s="36"/>
      <c r="Z77" s="35"/>
      <c r="AA77" s="36"/>
      <c r="AB77" s="35"/>
      <c r="AC77" s="36"/>
      <c r="AD77" s="35"/>
      <c r="AE77" s="36"/>
      <c r="AF77" s="35"/>
      <c r="AG77" s="36"/>
      <c r="AH77" s="38"/>
      <c r="AI77" s="36"/>
      <c r="AJ77" s="35"/>
      <c r="AK77" s="36"/>
      <c r="AL77" s="227"/>
      <c r="AM77" s="228" t="str">
        <f t="shared" si="77"/>
        <v/>
      </c>
      <c r="AN77" s="7"/>
      <c r="AO77" s="61"/>
      <c r="AP77" s="110"/>
      <c r="AQ77" s="111"/>
      <c r="AR77" s="8"/>
      <c r="AS77" s="7"/>
      <c r="AT77" s="9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</row>
    <row r="78" spans="1:255" ht="12" customHeight="1" thickTop="1">
      <c r="A78" s="62" t="s">
        <v>50</v>
      </c>
      <c r="B78" s="24">
        <f>MIN(B62:B73)</f>
        <v>2.5136574074074076E-3</v>
      </c>
      <c r="C78" s="63"/>
      <c r="D78" s="24">
        <f>MIN(D62:D73)</f>
        <v>2.0777777777777778E-3</v>
      </c>
      <c r="E78" s="64"/>
      <c r="F78" s="24">
        <f>MIN(F62:F73)</f>
        <v>2.6043981481481478E-3</v>
      </c>
      <c r="G78" s="64"/>
      <c r="H78" s="24">
        <f>MIN(H62:H73)</f>
        <v>1.2569444444444444E-3</v>
      </c>
      <c r="I78" s="64"/>
      <c r="J78" s="24">
        <f>MIN(J62:J73)</f>
        <v>9.5954861111111111E-4</v>
      </c>
      <c r="K78" s="64"/>
      <c r="L78" s="24">
        <f>MIN(L62:L73)</f>
        <v>6.2776620370370373E-3</v>
      </c>
      <c r="M78" s="64"/>
      <c r="N78" s="27">
        <f>MAX(N62:N73)</f>
        <v>21</v>
      </c>
      <c r="O78" s="63"/>
      <c r="P78" s="24">
        <f>MIN(P62:P73)</f>
        <v>2.5081018518518519E-4</v>
      </c>
      <c r="Q78" s="64"/>
      <c r="R78" s="28">
        <f>MAX(S62:S71)</f>
        <v>100</v>
      </c>
      <c r="S78" s="64">
        <f>Birling!C55</f>
        <v>0</v>
      </c>
      <c r="T78" s="24">
        <f>MIN(T62:T73)</f>
        <v>7.6620370370370373E-4</v>
      </c>
      <c r="U78" s="64"/>
      <c r="V78" s="27">
        <f>MAX(V62:V73)</f>
        <v>20</v>
      </c>
      <c r="W78" s="63"/>
      <c r="X78" s="24">
        <f>MIN(X62:X73)</f>
        <v>5.3749999999999989E-4</v>
      </c>
      <c r="Y78" s="64"/>
      <c r="Z78" s="24">
        <f>MIN(Z62:Z73)</f>
        <v>7.1180555555555548E-4</v>
      </c>
      <c r="AA78" s="64"/>
      <c r="AB78" s="24">
        <f>MIN(AB62:AB73)</f>
        <v>6.5243055555555551E-4</v>
      </c>
      <c r="AC78" s="64"/>
      <c r="AD78" s="24">
        <f>MIN(AD62:AD73)</f>
        <v>1.0217592592592594E-3</v>
      </c>
      <c r="AE78" s="64"/>
      <c r="AF78" s="24">
        <f>MIN(AF62:AF73)</f>
        <v>1.4109953703703704E-3</v>
      </c>
      <c r="AG78" s="64"/>
      <c r="AH78" s="24">
        <f>MIN(AH62:AH73)</f>
        <v>1.8583333333333334E-3</v>
      </c>
      <c r="AI78" s="64"/>
      <c r="AJ78" s="24">
        <f>MIN(AJ62:AJ73)</f>
        <v>1.2291666666666665E-4</v>
      </c>
      <c r="AK78" s="64"/>
      <c r="AL78" s="205">
        <f>MIN(AL62:AL73)</f>
        <v>6.0532407407407399E-4</v>
      </c>
      <c r="AM78" s="217"/>
      <c r="AN78" s="10"/>
      <c r="AO78" s="10"/>
      <c r="AP78" s="10"/>
      <c r="AQ78" s="10"/>
      <c r="AR78" s="54"/>
      <c r="AS78" s="10"/>
      <c r="AT78" s="33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</row>
    <row r="79" spans="1:255" ht="12" customHeight="1">
      <c r="A79" s="65" t="s">
        <v>38</v>
      </c>
      <c r="B79" s="2" t="str">
        <f t="array" ref="B79">INDEX($A$62:$A$73, MATCH(B80,B62:B73,0))</f>
        <v>ESF</v>
      </c>
      <c r="C79" s="3"/>
      <c r="D79" s="2" t="str">
        <f t="array" ref="D79">INDEX($A$62:$A$73, MATCH(D80,D62:D73,0))</f>
        <v>ESF</v>
      </c>
      <c r="E79" s="3"/>
      <c r="F79" s="2" t="str">
        <f t="array" ref="F79">INDEX($A$62:$A$73, MATCH(F80,F62:F73,0))</f>
        <v>FLCC</v>
      </c>
      <c r="G79" s="3"/>
      <c r="H79" s="2" t="str">
        <f t="array" ref="H79">INDEX($A$62:$A$73, MATCH(H80,H62:H73,0))</f>
        <v>ESF</v>
      </c>
      <c r="I79" s="3"/>
      <c r="J79" s="2" t="str">
        <f t="array" ref="J79">INDEX($A$62:$A$73, MATCH(J80,J62:J73,0))</f>
        <v>ESF</v>
      </c>
      <c r="K79" s="3"/>
      <c r="L79" s="2" t="str">
        <f t="array" ref="L79">INDEX($A$62:$A$73, MATCH(L80,L62:L73,0))</f>
        <v>ESF</v>
      </c>
      <c r="M79" s="3"/>
      <c r="N79" s="2" t="str">
        <f t="array" ref="N79">INDEX($A$62:$A$73, MATCH(N80,N62:N73,0))</f>
        <v>UNH</v>
      </c>
      <c r="O79" s="3"/>
      <c r="P79" s="2" t="str">
        <f t="array" ref="P79">INDEX($A$62:$A$73, MATCH(P80,P62:P73,0))</f>
        <v>UMO</v>
      </c>
      <c r="Q79" s="3"/>
      <c r="R79" s="2" t="str">
        <f t="array" ref="R79">INDEX($A$62:$A$73, MATCH(R80,S62:S73,0))</f>
        <v>ESF</v>
      </c>
      <c r="S79" s="112"/>
      <c r="T79" s="2" t="str">
        <f t="array" ref="T79">INDEX($A$62:$A$73, MATCH(T80,T62:T73,0))</f>
        <v>Colby</v>
      </c>
      <c r="U79" s="3"/>
      <c r="V79" s="2" t="str">
        <f t="array" ref="V79">INDEX($A$62:$A$73, MATCH(V80,V62:V73,0))</f>
        <v>ESF</v>
      </c>
      <c r="W79" s="3"/>
      <c r="X79" s="2" t="str">
        <f t="array" ref="X79">INDEX($A$62:$A$73, MATCH(X80,X62:X73,0))</f>
        <v>ESF</v>
      </c>
      <c r="Y79" s="3"/>
      <c r="Z79" s="2" t="str">
        <f>INDEX($A$62:$A$73, MATCH(Z80,Z62:Z73,0))</f>
        <v>Colby</v>
      </c>
      <c r="AA79" s="3"/>
      <c r="AB79" s="2" t="str">
        <f t="array" ref="AB79">INDEX($A$62:$A$73, MATCH(AB80,AB62:AB73,0))</f>
        <v>UMO</v>
      </c>
      <c r="AC79" s="3" t="s">
        <v>69</v>
      </c>
      <c r="AD79" s="2" t="str">
        <f t="array" ref="AD79">INDEX($A$62:$A$73, MATCH(AD80,AD62:AD73,0))</f>
        <v>ESF</v>
      </c>
      <c r="AE79" s="3"/>
      <c r="AF79" s="2" t="str">
        <f t="array" ref="AF79">INDEX($A$62:$A$73, MATCH(AF80,AF62:AF73,0))</f>
        <v>ESF</v>
      </c>
      <c r="AG79" s="3"/>
      <c r="AH79" s="2" t="str">
        <f>INDEX($A$62:$A$73, MATCH(AH80,AH62:AH73,0))</f>
        <v>Colby</v>
      </c>
      <c r="AI79" s="3"/>
      <c r="AJ79" s="2" t="str">
        <f>INDEX($A$62:$A$73, MATCH(AJ80,AJ62:AJ73,0))</f>
        <v>UNH</v>
      </c>
      <c r="AK79" s="3"/>
      <c r="AL79" s="189" t="str">
        <f>INDEX($A$62:$A$74, MATCH(AL80,AL62:AL77,0))</f>
        <v>ESF</v>
      </c>
      <c r="AM79" s="184"/>
      <c r="AN79" s="7"/>
      <c r="AO79" s="7"/>
      <c r="AP79" s="7"/>
      <c r="AQ79" s="7"/>
      <c r="AR79" s="58"/>
      <c r="AS79" s="7"/>
      <c r="AT79" s="9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</row>
    <row r="80" spans="1:255" ht="12" customHeight="1">
      <c r="A80" s="67" t="s">
        <v>39</v>
      </c>
      <c r="B80" s="15">
        <f>SMALL(B62:B73,1)</f>
        <v>2.5136574074074076E-3</v>
      </c>
      <c r="C80" s="69"/>
      <c r="D80" s="15">
        <f>SMALL(D62:D73,1)</f>
        <v>2.0777777777777778E-3</v>
      </c>
      <c r="E80" s="69"/>
      <c r="F80" s="15">
        <f>SMALL(F62:F73,1)</f>
        <v>2.6043981481481478E-3</v>
      </c>
      <c r="G80" s="69"/>
      <c r="H80" s="15">
        <f>SMALL(H62:H73,1)</f>
        <v>1.2569444444444444E-3</v>
      </c>
      <c r="I80" s="69"/>
      <c r="J80" s="15">
        <f>SMALL(J62:J73,1)</f>
        <v>9.5954861111111111E-4</v>
      </c>
      <c r="K80" s="69"/>
      <c r="L80" s="15">
        <f>SMALL(L62:L73,1)</f>
        <v>6.2776620370370373E-3</v>
      </c>
      <c r="M80" s="69"/>
      <c r="N80" s="16">
        <f>LARGE(N62:N73,1)</f>
        <v>21</v>
      </c>
      <c r="O80" s="69"/>
      <c r="P80" s="15">
        <f>SMALL(P62:P73,1)</f>
        <v>2.5081018518518519E-4</v>
      </c>
      <c r="Q80" s="69"/>
      <c r="R80" s="12">
        <f>LARGE(S62:S68,1)</f>
        <v>100</v>
      </c>
      <c r="S80" s="113"/>
      <c r="T80" s="15">
        <f>SMALL(T62:T73,1)</f>
        <v>7.6620370370370373E-4</v>
      </c>
      <c r="U80" s="69"/>
      <c r="V80" s="16">
        <f>LARGE(V62:V73,1)</f>
        <v>20</v>
      </c>
      <c r="W80" s="69"/>
      <c r="X80" s="15">
        <f>SMALL(X62:X73,1)</f>
        <v>5.3749999999999989E-4</v>
      </c>
      <c r="Y80" s="69"/>
      <c r="Z80" s="15">
        <f>SMALL(Z62:Z73,1)</f>
        <v>7.1180555555555548E-4</v>
      </c>
      <c r="AA80" s="69"/>
      <c r="AB80" s="15">
        <f>SMALL(AB62:AB73,1)</f>
        <v>6.5243055555555551E-4</v>
      </c>
      <c r="AC80" s="69"/>
      <c r="AD80" s="15">
        <f>SMALL(AD62:AD73,1)</f>
        <v>1.0217592592592594E-3</v>
      </c>
      <c r="AE80" s="69"/>
      <c r="AF80" s="15">
        <f>SMALL(AF62:AF73,1)</f>
        <v>1.4109953703703704E-3</v>
      </c>
      <c r="AG80" s="69"/>
      <c r="AH80" s="15">
        <f>SMALL(AH62:AH73,1)</f>
        <v>1.8583333333333334E-3</v>
      </c>
      <c r="AI80" s="69"/>
      <c r="AJ80" s="15">
        <f>SMALL(AJ62:AJ73,1)</f>
        <v>1.2291666666666665E-4</v>
      </c>
      <c r="AK80" s="69"/>
      <c r="AL80" s="15">
        <f>SMALL(AL62:AL74,1)</f>
        <v>6.0532407407407399E-4</v>
      </c>
      <c r="AM80" s="185"/>
      <c r="AN80" s="7"/>
      <c r="AO80" s="7"/>
      <c r="AP80" s="7"/>
      <c r="AQ80" s="7"/>
      <c r="AR80" s="58"/>
      <c r="AS80" s="7"/>
      <c r="AT80" s="9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</row>
    <row r="81" spans="1:257" ht="12" customHeight="1">
      <c r="A81" s="70" t="s">
        <v>40</v>
      </c>
      <c r="B81" s="71" t="str">
        <f t="array" ref="B81">INDEX($A$62:$A$73, MATCH(B82,B62:B73,0))</f>
        <v>Colby</v>
      </c>
      <c r="C81" s="73"/>
      <c r="D81" s="71" t="str">
        <f t="array" ref="D81">INDEX($A$62:$A$73, MATCH(D82,D62:D73,0))</f>
        <v>FLCC</v>
      </c>
      <c r="E81" s="73"/>
      <c r="F81" s="71" t="str">
        <f t="array" ref="F81">INDEX($A$62:$A$73, MATCH(F82,F62:F73,0))</f>
        <v>ESF</v>
      </c>
      <c r="G81" s="73"/>
      <c r="H81" s="71" t="str">
        <f t="array" ref="H81">INDEX($A$62:$A$73, MATCH(H82,H62:H73,0))</f>
        <v>Colby</v>
      </c>
      <c r="I81" s="73"/>
      <c r="J81" s="71" t="str">
        <f t="array" ref="J81">INDEX($A$62:$A$73, MATCH(J82,J62:J73,0))</f>
        <v>FLCC</v>
      </c>
      <c r="K81" s="73"/>
      <c r="L81" s="71" t="str">
        <f t="array" ref="L81">INDEX($A$62:$A$73, MATCH(L82,L62:L73,0))</f>
        <v>UMO</v>
      </c>
      <c r="M81" s="73"/>
      <c r="N81" s="71" t="str">
        <f t="array" ref="N81">INDEX($A$62:$A$73, MATCH(N82,N62:N73,0))</f>
        <v>Colby</v>
      </c>
      <c r="O81" s="73"/>
      <c r="P81" s="71" t="str">
        <f t="array" ref="P81">INDEX($A$62:$A$73, MATCH(P82,P62:P73,0))</f>
        <v>Colby</v>
      </c>
      <c r="Q81" s="73"/>
      <c r="R81" s="71" t="str">
        <f t="array" ref="R81">INDEX($A$62:$A$73, MATCH(R82,S62:S73,0))</f>
        <v>Colby</v>
      </c>
      <c r="S81" s="114"/>
      <c r="T81" s="71" t="str">
        <f t="array" ref="T81">INDEX($A$62:$A$73, MATCH(T82,T62:T73,0))</f>
        <v>UNH</v>
      </c>
      <c r="U81" s="73"/>
      <c r="V81" s="71" t="str">
        <f t="array" ref="V81">INDEX($A$62:$A$73, MATCH(V82,V62:V73,0))</f>
        <v>FLCC</v>
      </c>
      <c r="W81" s="73"/>
      <c r="X81" s="71" t="str">
        <f t="array" ref="X81">INDEX($A$62:$A$73, MATCH(X82,X62:X73,0))</f>
        <v>UNH</v>
      </c>
      <c r="Y81" s="73"/>
      <c r="Z81" s="71" t="str">
        <f t="array" ref="Z81">INDEX($A$62:$A$73, MATCH(Z82,Z62:Z73,0))</f>
        <v>ESF</v>
      </c>
      <c r="AA81" s="73"/>
      <c r="AB81" s="71" t="s">
        <v>32</v>
      </c>
      <c r="AC81" s="73" t="s">
        <v>69</v>
      </c>
      <c r="AD81" s="71" t="str">
        <f t="array" ref="AD81">INDEX($A$62:$A$73, MATCH(AD82,AD62:AD73,0))</f>
        <v>FLCC</v>
      </c>
      <c r="AE81" s="73"/>
      <c r="AF81" s="71" t="str">
        <f t="array" ref="AF81">INDEX($A$62:$A$73, MATCH(AF82,AF62:AF73,0))</f>
        <v>Colby</v>
      </c>
      <c r="AG81" s="73"/>
      <c r="AH81" s="71" t="str">
        <f t="array" ref="AH81">INDEX($A$62:$A$73, MATCH(AH82,AH62:AH73,0))</f>
        <v>Unity</v>
      </c>
      <c r="AI81" s="73"/>
      <c r="AJ81" s="71" t="str">
        <f t="array" ref="AJ81">INDEX($A$62:$A$73, MATCH(AJ82,AJ62:AJ73,0))</f>
        <v>FLCC</v>
      </c>
      <c r="AK81" s="73"/>
      <c r="AL81" s="71" t="str">
        <f>INDEX($A$62:$A$74, MATCH(AL82,AL62:AL74,0))</f>
        <v>FLCC</v>
      </c>
      <c r="AM81" s="187"/>
      <c r="AN81" s="10"/>
      <c r="AO81" s="10"/>
      <c r="AP81" s="10"/>
      <c r="AQ81" s="10"/>
      <c r="AR81" s="74"/>
      <c r="AS81" s="10"/>
      <c r="AT81" s="33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</row>
    <row r="82" spans="1:257" ht="12" customHeight="1">
      <c r="A82" s="75" t="s">
        <v>39</v>
      </c>
      <c r="B82" s="76">
        <f>SMALL(B62:B73,2)</f>
        <v>2.6087962962962966E-3</v>
      </c>
      <c r="C82" s="79"/>
      <c r="D82" s="76">
        <f>SMALL(D62:D73,2)</f>
        <v>2.2332175925925926E-3</v>
      </c>
      <c r="E82" s="79"/>
      <c r="F82" s="76">
        <f>SMALL(F62:F73,2)</f>
        <v>2.8041666666666666E-3</v>
      </c>
      <c r="G82" s="79"/>
      <c r="H82" s="76">
        <f>SMALL(H62:H73,2)</f>
        <v>1.3466435185185185E-3</v>
      </c>
      <c r="I82" s="79"/>
      <c r="J82" s="76">
        <f>SMALL(J62:J73,2)</f>
        <v>1.1250578703703702E-3</v>
      </c>
      <c r="K82" s="79"/>
      <c r="L82" s="76">
        <f>SMALL(L62:L73,2)</f>
        <v>7.3357060185185183E-3</v>
      </c>
      <c r="M82" s="79"/>
      <c r="N82" s="78">
        <f>LARGE(N62:N73,2)</f>
        <v>17</v>
      </c>
      <c r="O82" s="79"/>
      <c r="P82" s="76">
        <f>SMALL(P62:P73,2)</f>
        <v>3.0000000000000003E-4</v>
      </c>
      <c r="Q82" s="79"/>
      <c r="R82" s="80">
        <f>LARGE(S62:S68,2)</f>
        <v>90</v>
      </c>
      <c r="S82" s="115"/>
      <c r="T82" s="76">
        <f>SMALL(T62:T73,2)</f>
        <v>1.21875E-3</v>
      </c>
      <c r="U82" s="79"/>
      <c r="V82" s="78">
        <f>LARGE(V62:V73,2)</f>
        <v>15</v>
      </c>
      <c r="W82" s="79"/>
      <c r="X82" s="76">
        <f>SMALL(X62:X73,2)</f>
        <v>7.5081018518518509E-4</v>
      </c>
      <c r="Y82" s="79"/>
      <c r="Z82" s="76">
        <f>SMALL(Z62:Z73,2)</f>
        <v>1.0018518518518519E-3</v>
      </c>
      <c r="AA82" s="79"/>
      <c r="AB82" s="76">
        <f>SMALL(AB62:AB73,2)</f>
        <v>6.5243055555555551E-4</v>
      </c>
      <c r="AC82" s="79"/>
      <c r="AD82" s="76">
        <f>SMALL(AD62:AD73,2)</f>
        <v>1.043287037037037E-3</v>
      </c>
      <c r="AE82" s="79"/>
      <c r="AF82" s="76">
        <f>SMALL(AF62:AF73,2)</f>
        <v>2.0136574074074071E-3</v>
      </c>
      <c r="AG82" s="79"/>
      <c r="AH82" s="76">
        <f>SMALL(AH62:AH73,2)</f>
        <v>2.1430555555555556E-3</v>
      </c>
      <c r="AI82" s="79"/>
      <c r="AJ82" s="76">
        <f>SMALL(AJ62:AJ73,2)</f>
        <v>1.261574074074074E-4</v>
      </c>
      <c r="AK82" s="79"/>
      <c r="AL82" s="76">
        <f>SMALL(AL62:AL74,2)</f>
        <v>8.3888888888888891E-4</v>
      </c>
      <c r="AM82" s="188"/>
      <c r="AN82" s="10"/>
      <c r="AO82" s="10"/>
      <c r="AP82" s="10"/>
      <c r="AQ82" s="10"/>
      <c r="AR82" s="74"/>
      <c r="AS82" s="10"/>
      <c r="AT82" s="33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</row>
    <row r="83" spans="1:257" ht="12" customHeight="1">
      <c r="A83" s="65" t="s">
        <v>41</v>
      </c>
      <c r="B83" s="2" t="str">
        <f t="array" ref="B83">INDEX($A$62:$A$73, MATCH(B84,B62:B73,0))</f>
        <v>FLCC</v>
      </c>
      <c r="C83" s="3"/>
      <c r="D83" s="2" t="str">
        <f t="array" ref="D83">INDEX($A$62:$A$73, MATCH(D84,D62:D73,0))</f>
        <v>Colby</v>
      </c>
      <c r="E83" s="3"/>
      <c r="F83" s="2" t="str">
        <f t="array" ref="F83">INDEX($A$62:$A$73, MATCH(F84,F62:F73,0))</f>
        <v>Unity</v>
      </c>
      <c r="G83" s="3"/>
      <c r="H83" s="2" t="str">
        <f t="array" ref="H83">INDEX($A$62:$A$73, MATCH(H84,H62:H73,0))</f>
        <v>FLCC</v>
      </c>
      <c r="I83" s="3"/>
      <c r="J83" s="2" t="str">
        <f t="array" ref="J83">INDEX($A$62:$A$73, MATCH(J84,J62:J73,0))</f>
        <v>Colby</v>
      </c>
      <c r="K83" s="3"/>
      <c r="L83" s="2" t="str">
        <f t="array" ref="L83">INDEX($A$62:$A$73, MATCH(L84,L62:L73,0))</f>
        <v>Colby</v>
      </c>
      <c r="M83" s="3"/>
      <c r="N83" s="2" t="str">
        <f t="array" ref="N83">INDEX($A$62:$A$73, MATCH(N84,N62:N73,0))</f>
        <v>ESF</v>
      </c>
      <c r="O83" s="3"/>
      <c r="P83" s="2" t="str">
        <f t="array" ref="P83">INDEX($A$62:$A$73, MATCH(P84,P62:P73,0))</f>
        <v>ESF</v>
      </c>
      <c r="Q83" s="3"/>
      <c r="R83" s="2" t="str">
        <f t="array" ref="R83">INDEX($A$62:$A$73, MATCH(R84,S62:S73,0))</f>
        <v>UNH</v>
      </c>
      <c r="S83" s="112"/>
      <c r="T83" s="2" t="str">
        <f t="array" ref="T83">INDEX($A$62:$A$73, MATCH(T84,T62:T73,0))</f>
        <v>UMO</v>
      </c>
      <c r="U83" s="3"/>
      <c r="V83" s="2" t="str">
        <f t="array" ref="V83">INDEX($A$62:$A$73, MATCH(V84,V62:V73,0))</f>
        <v>UNH</v>
      </c>
      <c r="W83" s="3"/>
      <c r="X83" s="2" t="str">
        <f t="array" ref="X83">INDEX($A$62:$A$73, MATCH(X84,X62:X73,0))</f>
        <v>Colby</v>
      </c>
      <c r="Y83" s="3"/>
      <c r="Z83" s="2" t="str">
        <f t="array" ref="Z83">INDEX($A$62:$A$73, MATCH(Z84,Z62:Z73,0))</f>
        <v>FLCC</v>
      </c>
      <c r="AA83" s="3"/>
      <c r="AB83" s="2" t="str">
        <f t="array" ref="AB83">INDEX($A$62:$A$73, MATCH(AB84,AB62:AB73,0))</f>
        <v>UNH</v>
      </c>
      <c r="AC83" s="3"/>
      <c r="AD83" s="2" t="str">
        <f t="array" ref="AD83">INDEX($A$62:$A$73, MATCH(AD84,AD62:AD73,0))</f>
        <v>Colby</v>
      </c>
      <c r="AE83" s="3"/>
      <c r="AF83" s="2" t="str">
        <f t="array" ref="AF83">INDEX($A$62:$A$73, MATCH(AF84,AF62:AF73,0))</f>
        <v>UNH</v>
      </c>
      <c r="AG83" s="3"/>
      <c r="AH83" s="2" t="str">
        <f t="array" ref="AH83">INDEX($A$62:$A$73, MATCH(AH84,AH62:AH73,0))</f>
        <v>ESF</v>
      </c>
      <c r="AI83" s="3"/>
      <c r="AJ83" s="2" t="str">
        <f t="array" ref="AJ83">INDEX($A$62:$A$73, MATCH(AJ84,AJ62:AJ73,0))</f>
        <v>Colby</v>
      </c>
      <c r="AK83" s="3"/>
      <c r="AL83" s="2" t="str">
        <f>INDEX($A$62:$A$74, MATCH(AL84,AL62:AL74,0))</f>
        <v>UNH</v>
      </c>
      <c r="AM83" s="184"/>
      <c r="AN83" s="7"/>
      <c r="AO83" s="7"/>
      <c r="AP83" s="7"/>
      <c r="AQ83" s="7"/>
      <c r="AR83" s="8"/>
      <c r="AS83" s="7"/>
      <c r="AT83" s="9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10"/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</row>
    <row r="84" spans="1:257" ht="12" customHeight="1">
      <c r="A84" s="116" t="s">
        <v>39</v>
      </c>
      <c r="B84" s="35">
        <f>SMALL(B62:B73,3)</f>
        <v>2.6993055555555555E-3</v>
      </c>
      <c r="C84" s="117"/>
      <c r="D84" s="35">
        <f>SMALL(D62:D73,3)</f>
        <v>2.261342592592593E-3</v>
      </c>
      <c r="E84" s="117"/>
      <c r="F84" s="35">
        <f>SMALL(F62:F73,3)</f>
        <v>3.1268518518518516E-3</v>
      </c>
      <c r="G84" s="117"/>
      <c r="H84" s="35">
        <f>SMALL(H62:H73,3)</f>
        <v>1.4956018518518519E-3</v>
      </c>
      <c r="I84" s="117"/>
      <c r="J84" s="35">
        <f>SMALL(J62:J73,3)</f>
        <v>1.2730324074074074E-3</v>
      </c>
      <c r="K84" s="117"/>
      <c r="L84" s="35">
        <f>SMALL(L62:L73,3)</f>
        <v>7.351736111111111E-3</v>
      </c>
      <c r="M84" s="117"/>
      <c r="N84" s="39">
        <f>LARGE(N62:N73,3)</f>
        <v>13</v>
      </c>
      <c r="O84" s="117"/>
      <c r="P84" s="35">
        <f>SMALL(P62:P73,3)</f>
        <v>3.5324074074074077E-4</v>
      </c>
      <c r="Q84" s="117"/>
      <c r="R84" s="6">
        <f>LARGE(S62:S71,3)</f>
        <v>85</v>
      </c>
      <c r="S84" s="118"/>
      <c r="T84" s="35">
        <f>SMALL(T62:T73,3)</f>
        <v>1.3387731481481482E-3</v>
      </c>
      <c r="U84" s="117"/>
      <c r="V84" s="39">
        <f>LARGE(V62:V73,3)</f>
        <v>8</v>
      </c>
      <c r="W84" s="117"/>
      <c r="X84" s="35">
        <f>SMALL(X62:X73,3)</f>
        <v>1.1185185185185185E-3</v>
      </c>
      <c r="Y84" s="117"/>
      <c r="Z84" s="35">
        <f>SMALL(Z62:Z73,3)</f>
        <v>1.3181712962962962E-3</v>
      </c>
      <c r="AA84" s="119"/>
      <c r="AB84" s="35">
        <f>SMALL(AB62:AB73,3)</f>
        <v>7.9571759259259255E-4</v>
      </c>
      <c r="AC84" s="117"/>
      <c r="AD84" s="35">
        <f>SMALL(AD62:AD73,3)</f>
        <v>1.2606481481481481E-3</v>
      </c>
      <c r="AE84" s="117"/>
      <c r="AF84" s="35">
        <f>SMALL(AF62:AF73,3)</f>
        <v>2.5418981481481482E-3</v>
      </c>
      <c r="AG84" s="117"/>
      <c r="AH84" s="35">
        <f>SMALL(AH62:AH73,3)</f>
        <v>2.2431712962962965E-3</v>
      </c>
      <c r="AI84" s="117"/>
      <c r="AJ84" s="35">
        <f>SMALL(AJ62:AJ73,3)</f>
        <v>1.3854166666666667E-4</v>
      </c>
      <c r="AK84" s="117"/>
      <c r="AL84" s="15">
        <f>SMALL(AL62:AL74,3)</f>
        <v>8.611111111111111E-4</v>
      </c>
      <c r="AM84" s="185"/>
      <c r="AN84" s="7"/>
      <c r="AO84" s="7"/>
      <c r="AP84" s="7"/>
      <c r="AQ84" s="7"/>
      <c r="AR84" s="8"/>
      <c r="AS84" s="7"/>
      <c r="AT84" s="9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  <c r="HE84" s="10"/>
      <c r="HF84" s="10"/>
      <c r="HG84" s="10"/>
      <c r="HH84" s="10"/>
      <c r="HI84" s="10"/>
      <c r="HJ84" s="10"/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"/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10"/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</row>
    <row r="85" spans="1:257" ht="12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1"/>
      <c r="M85" s="120"/>
      <c r="N85" s="120"/>
      <c r="O85" s="120"/>
      <c r="P85" s="120"/>
      <c r="Q85" s="120"/>
      <c r="R85" s="122"/>
      <c r="S85" s="120"/>
      <c r="T85" s="120"/>
      <c r="U85" s="121"/>
      <c r="V85" s="120"/>
      <c r="W85" s="120"/>
      <c r="X85" s="123"/>
      <c r="Y85" s="120"/>
      <c r="Z85" s="122"/>
      <c r="AA85" s="120"/>
      <c r="AB85" s="121"/>
      <c r="AC85" s="120"/>
      <c r="AD85" s="122"/>
      <c r="AE85" s="120"/>
      <c r="AF85" s="122"/>
      <c r="AG85" s="120"/>
      <c r="AH85" s="122"/>
      <c r="AI85" s="120"/>
      <c r="AJ85" s="120"/>
      <c r="AK85" s="120"/>
      <c r="AL85" s="122"/>
      <c r="AM85" s="120"/>
      <c r="AN85" s="120"/>
      <c r="AO85" s="120"/>
      <c r="AP85" s="120"/>
      <c r="AQ85" s="120"/>
      <c r="AR85" s="120"/>
      <c r="AS85" s="123"/>
      <c r="AT85" s="124"/>
      <c r="AU85" s="120"/>
      <c r="AV85" s="125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10"/>
    </row>
    <row r="86" spans="1:257" ht="12" customHeight="1">
      <c r="A86" s="10"/>
      <c r="B86" s="10"/>
      <c r="C86" s="83"/>
      <c r="D86" s="10"/>
      <c r="E86" s="83"/>
      <c r="F86" s="10"/>
      <c r="G86" s="83"/>
      <c r="H86" s="10"/>
      <c r="I86" s="83"/>
      <c r="J86" s="10"/>
      <c r="K86" s="83"/>
      <c r="L86" s="85"/>
      <c r="M86" s="83"/>
      <c r="N86" s="10"/>
      <c r="O86" s="83"/>
      <c r="P86" s="10"/>
      <c r="Q86" s="83"/>
      <c r="R86" s="47"/>
      <c r="S86" s="83"/>
      <c r="T86" s="10"/>
      <c r="U86" s="83"/>
      <c r="V86" s="10"/>
      <c r="W86" s="83"/>
      <c r="X86" s="53"/>
      <c r="Y86" s="83"/>
      <c r="Z86" s="47"/>
      <c r="AA86" s="83"/>
      <c r="AB86" s="85"/>
      <c r="AC86" s="83"/>
      <c r="AD86" s="47"/>
      <c r="AE86" s="83"/>
      <c r="AF86" s="47"/>
      <c r="AG86" s="83"/>
      <c r="AH86" s="47"/>
      <c r="AI86" s="83"/>
      <c r="AJ86" s="10"/>
      <c r="AK86" s="83"/>
      <c r="AL86" s="47"/>
      <c r="AM86" s="83"/>
      <c r="AN86" s="83"/>
      <c r="AO86" s="83"/>
      <c r="AP86" s="10"/>
      <c r="AQ86" s="10"/>
      <c r="AR86" s="83"/>
      <c r="AS86" s="84"/>
      <c r="AT86" s="74"/>
      <c r="AU86" s="10"/>
      <c r="AV86" s="33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  <c r="HE86" s="10"/>
      <c r="HF86" s="10"/>
      <c r="HG86" s="10"/>
      <c r="HH86" s="10"/>
      <c r="HI86" s="10"/>
      <c r="HJ86" s="10"/>
      <c r="HK86" s="10"/>
      <c r="HL86" s="10"/>
      <c r="HM86" s="10"/>
      <c r="HN86" s="10"/>
      <c r="HO86" s="10"/>
      <c r="HP86" s="10"/>
      <c r="HQ86" s="10"/>
      <c r="HR86" s="10"/>
      <c r="HS86" s="10"/>
      <c r="HT86" s="10"/>
      <c r="HU86" s="10"/>
      <c r="HV86" s="10"/>
      <c r="HW86" s="10"/>
      <c r="HX86" s="10"/>
      <c r="HY86" s="10"/>
      <c r="HZ86" s="10"/>
      <c r="IA86" s="10"/>
      <c r="IB86" s="10"/>
      <c r="IC86" s="10"/>
      <c r="ID86" s="10"/>
      <c r="IE86" s="10"/>
      <c r="IF86" s="10"/>
      <c r="IG86" s="10"/>
      <c r="IH86" s="10"/>
      <c r="II86" s="10"/>
      <c r="IJ86" s="10"/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10"/>
    </row>
    <row r="87" spans="1:257" ht="12" customHeight="1">
      <c r="A87" s="10"/>
      <c r="B87" s="10"/>
      <c r="C87" s="83"/>
      <c r="D87" s="10"/>
      <c r="E87" s="83"/>
      <c r="F87" s="10"/>
      <c r="G87" s="83"/>
      <c r="H87" s="10"/>
      <c r="I87" s="83"/>
      <c r="J87" s="10"/>
      <c r="K87" s="83"/>
      <c r="L87" s="85"/>
      <c r="M87" s="83"/>
      <c r="N87" s="10"/>
      <c r="O87" s="83"/>
      <c r="P87" s="10"/>
      <c r="Q87" s="83"/>
      <c r="R87" s="47"/>
      <c r="S87" s="83"/>
      <c r="T87" s="10"/>
      <c r="U87" s="83"/>
      <c r="V87" s="10"/>
      <c r="W87" s="83"/>
      <c r="X87" s="53"/>
      <c r="Y87" s="83"/>
      <c r="Z87" s="47"/>
      <c r="AA87" s="83"/>
      <c r="AB87" s="85"/>
      <c r="AC87" s="83"/>
      <c r="AD87" s="47"/>
      <c r="AE87" s="83"/>
      <c r="AF87" s="47"/>
      <c r="AG87" s="83"/>
      <c r="AH87" s="47"/>
      <c r="AI87" s="83"/>
      <c r="AJ87" s="10"/>
      <c r="AK87" s="83"/>
      <c r="AL87" s="47"/>
      <c r="AM87" s="83"/>
      <c r="AN87" s="83"/>
      <c r="AO87" s="83"/>
      <c r="AP87" s="10"/>
      <c r="AQ87" s="10"/>
      <c r="AR87" s="83"/>
      <c r="AS87" s="84"/>
      <c r="AT87" s="74"/>
      <c r="AU87" s="10"/>
      <c r="AV87" s="33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10"/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10"/>
    </row>
    <row r="88" spans="1:257" ht="12" customHeight="1">
      <c r="A88" s="10"/>
      <c r="B88" s="10"/>
      <c r="C88" s="83"/>
      <c r="D88" s="10"/>
      <c r="E88" s="83"/>
      <c r="F88" s="10"/>
      <c r="G88" s="83"/>
      <c r="H88" s="10"/>
      <c r="I88" s="83"/>
      <c r="J88" s="10"/>
      <c r="K88" s="83"/>
      <c r="L88" s="85"/>
      <c r="M88" s="83"/>
      <c r="N88" s="10"/>
      <c r="O88" s="83"/>
      <c r="P88" s="10"/>
      <c r="Q88" s="83"/>
      <c r="R88" s="47"/>
      <c r="S88" s="83"/>
      <c r="T88" s="10"/>
      <c r="U88" s="83"/>
      <c r="V88" s="10"/>
      <c r="W88" s="83"/>
      <c r="X88" s="53"/>
      <c r="Y88" s="83"/>
      <c r="Z88" s="47"/>
      <c r="AA88" s="83"/>
      <c r="AB88" s="85"/>
      <c r="AC88" s="83"/>
      <c r="AD88" s="47"/>
      <c r="AE88" s="83"/>
      <c r="AF88" s="47"/>
      <c r="AG88" s="83"/>
      <c r="AH88" s="47"/>
      <c r="AI88" s="83"/>
      <c r="AJ88" s="10"/>
      <c r="AK88" s="83"/>
      <c r="AL88" s="47"/>
      <c r="AM88" s="83"/>
      <c r="AN88" s="83"/>
      <c r="AO88" s="83"/>
      <c r="AP88" s="10"/>
      <c r="AQ88" s="10"/>
      <c r="AR88" s="83"/>
      <c r="AS88" s="84"/>
      <c r="AT88" s="74"/>
      <c r="AU88" s="10"/>
      <c r="AV88" s="33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"/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10"/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10"/>
    </row>
    <row r="89" spans="1:257" ht="12" customHeight="1">
      <c r="A89" s="10"/>
      <c r="B89" s="10"/>
      <c r="C89" s="83"/>
      <c r="D89" s="10"/>
      <c r="E89" s="83"/>
      <c r="F89" s="10"/>
      <c r="G89" s="83"/>
      <c r="H89" s="10"/>
      <c r="I89" s="83"/>
      <c r="J89" s="10"/>
      <c r="K89" s="83"/>
      <c r="L89" s="85"/>
      <c r="M89" s="83"/>
      <c r="N89" s="10"/>
      <c r="O89" s="83"/>
      <c r="P89" s="10"/>
      <c r="Q89" s="83"/>
      <c r="R89" s="47"/>
      <c r="S89" s="83"/>
      <c r="T89" s="10"/>
      <c r="U89" s="83"/>
      <c r="V89" s="10"/>
      <c r="W89" s="83"/>
      <c r="X89" s="53"/>
      <c r="Y89" s="83"/>
      <c r="Z89" s="47"/>
      <c r="AA89" s="83"/>
      <c r="AB89" s="85"/>
      <c r="AC89" s="83"/>
      <c r="AD89" s="47"/>
      <c r="AE89" s="83"/>
      <c r="AF89" s="47"/>
      <c r="AG89" s="83"/>
      <c r="AH89" s="47"/>
      <c r="AI89" s="83"/>
      <c r="AJ89" s="10"/>
      <c r="AK89" s="83"/>
      <c r="AL89" s="47"/>
      <c r="AM89" s="83"/>
      <c r="AN89" s="83"/>
      <c r="AO89" s="83"/>
      <c r="AP89" s="10"/>
      <c r="AQ89" s="10"/>
      <c r="AR89" s="83"/>
      <c r="AS89" s="84"/>
      <c r="AT89" s="74"/>
      <c r="AU89" s="10"/>
      <c r="AV89" s="33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/>
      <c r="HY89" s="10"/>
      <c r="HZ89" s="10"/>
      <c r="IA89" s="10"/>
      <c r="IB89" s="10"/>
      <c r="IC89" s="10"/>
      <c r="ID89" s="10"/>
      <c r="IE89" s="10"/>
      <c r="IF89" s="10"/>
      <c r="IG89" s="10"/>
      <c r="IH89" s="10"/>
      <c r="II89" s="10"/>
      <c r="IJ89" s="10"/>
      <c r="IK89" s="10"/>
      <c r="IL89" s="10"/>
      <c r="IM89" s="10"/>
      <c r="IN89" s="10"/>
      <c r="IO89" s="10"/>
      <c r="IP89" s="10"/>
      <c r="IQ89" s="10"/>
      <c r="IR89" s="10"/>
      <c r="IS89" s="10"/>
      <c r="IT89" s="10"/>
      <c r="IU89" s="10"/>
      <c r="IV89" s="10"/>
      <c r="IW89" s="10"/>
    </row>
    <row r="90" spans="1:257" ht="12" customHeight="1">
      <c r="A90" s="10"/>
      <c r="B90" s="10"/>
      <c r="C90" s="83"/>
      <c r="D90" s="10"/>
      <c r="E90" s="83"/>
      <c r="F90" s="10"/>
      <c r="G90" s="83"/>
      <c r="H90" s="10"/>
      <c r="I90" s="83"/>
      <c r="J90" s="10"/>
      <c r="K90" s="83"/>
      <c r="L90" s="85"/>
      <c r="M90" s="83"/>
      <c r="N90" s="10"/>
      <c r="O90" s="83"/>
      <c r="P90" s="10"/>
      <c r="Q90" s="83"/>
      <c r="R90" s="47"/>
      <c r="S90" s="83"/>
      <c r="T90" s="10"/>
      <c r="U90" s="83"/>
      <c r="V90" s="10"/>
      <c r="W90" s="83"/>
      <c r="X90" s="53"/>
      <c r="Y90" s="83"/>
      <c r="Z90" s="47"/>
      <c r="AA90" s="83"/>
      <c r="AB90" s="85"/>
      <c r="AC90" s="83"/>
      <c r="AD90" s="47"/>
      <c r="AE90" s="83"/>
      <c r="AF90" s="47"/>
      <c r="AG90" s="83"/>
      <c r="AH90" s="47"/>
      <c r="AI90" s="83"/>
      <c r="AJ90" s="10"/>
      <c r="AK90" s="83"/>
      <c r="AL90" s="47"/>
      <c r="AM90" s="83"/>
      <c r="AN90" s="83"/>
      <c r="AO90" s="83"/>
      <c r="AP90" s="10"/>
      <c r="AQ90" s="10"/>
      <c r="AR90" s="83"/>
      <c r="AS90" s="84"/>
      <c r="AT90" s="74"/>
      <c r="AU90" s="10"/>
      <c r="AV90" s="33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</row>
    <row r="91" spans="1:257" ht="12" customHeight="1">
      <c r="A91" s="10"/>
      <c r="B91" s="10"/>
      <c r="C91" s="83"/>
      <c r="D91" s="10"/>
      <c r="E91" s="83"/>
      <c r="F91" s="10"/>
      <c r="G91" s="83"/>
      <c r="H91" s="10"/>
      <c r="I91" s="83"/>
      <c r="J91" s="10"/>
      <c r="K91" s="83"/>
      <c r="L91" s="85"/>
      <c r="M91" s="83"/>
      <c r="N91" s="10"/>
      <c r="O91" s="83"/>
      <c r="P91" s="10"/>
      <c r="Q91" s="83"/>
      <c r="R91" s="47"/>
      <c r="S91" s="83"/>
      <c r="T91" s="10"/>
      <c r="U91" s="83"/>
      <c r="V91" s="10"/>
      <c r="W91" s="83"/>
      <c r="X91" s="53"/>
      <c r="Y91" s="83"/>
      <c r="Z91" s="47"/>
      <c r="AA91" s="83"/>
      <c r="AB91" s="85"/>
      <c r="AC91" s="83"/>
      <c r="AD91" s="47"/>
      <c r="AE91" s="83"/>
      <c r="AF91" s="47"/>
      <c r="AG91" s="83"/>
      <c r="AH91" s="47"/>
      <c r="AI91" s="83"/>
      <c r="AJ91" s="10"/>
      <c r="AK91" s="83"/>
      <c r="AL91" s="47"/>
      <c r="AM91" s="83"/>
      <c r="AN91" s="83"/>
      <c r="AO91" s="83"/>
      <c r="AP91" s="10"/>
      <c r="AQ91" s="10"/>
      <c r="AR91" s="83"/>
      <c r="AS91" s="84"/>
      <c r="AT91" s="74"/>
      <c r="AU91" s="10"/>
      <c r="AV91" s="33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</row>
    <row r="92" spans="1:257" ht="12" customHeight="1">
      <c r="A92" s="10"/>
      <c r="B92" s="10"/>
      <c r="C92" s="83"/>
      <c r="D92" s="10"/>
      <c r="E92" s="83"/>
      <c r="F92" s="10"/>
      <c r="G92" s="83"/>
      <c r="H92" s="10"/>
      <c r="I92" s="83"/>
      <c r="J92" s="10"/>
      <c r="K92" s="83"/>
      <c r="L92" s="85"/>
      <c r="M92" s="83"/>
      <c r="N92" s="10"/>
      <c r="O92" s="83"/>
      <c r="P92" s="10"/>
      <c r="Q92" s="83"/>
      <c r="R92" s="47"/>
      <c r="S92" s="83"/>
      <c r="T92" s="10"/>
      <c r="U92" s="83"/>
      <c r="V92" s="10"/>
      <c r="W92" s="83"/>
      <c r="X92" s="53"/>
      <c r="Y92" s="83"/>
      <c r="Z92" s="47"/>
      <c r="AA92" s="83"/>
      <c r="AB92" s="85"/>
      <c r="AC92" s="83"/>
      <c r="AD92" s="47"/>
      <c r="AE92" s="83"/>
      <c r="AF92" s="47"/>
      <c r="AG92" s="83"/>
      <c r="AH92" s="47"/>
      <c r="AI92" s="83"/>
      <c r="AJ92" s="10"/>
      <c r="AK92" s="83"/>
      <c r="AL92" s="47"/>
      <c r="AM92" s="83"/>
      <c r="AN92" s="83"/>
      <c r="AO92" s="83"/>
      <c r="AP92" s="10"/>
      <c r="AQ92" s="10"/>
      <c r="AR92" s="83"/>
      <c r="AS92" s="84"/>
      <c r="AT92" s="74"/>
      <c r="AU92" s="10"/>
      <c r="AV92" s="33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</row>
    <row r="93" spans="1:257" ht="12" customHeight="1">
      <c r="A93" s="10"/>
      <c r="B93" s="10"/>
      <c r="C93" s="83"/>
      <c r="D93" s="10"/>
      <c r="E93" s="83"/>
      <c r="F93" s="10"/>
      <c r="G93" s="83"/>
      <c r="H93" s="10"/>
      <c r="I93" s="83"/>
      <c r="J93" s="10"/>
      <c r="K93" s="83"/>
      <c r="L93" s="85"/>
      <c r="M93" s="83"/>
      <c r="N93" s="10"/>
      <c r="O93" s="83"/>
      <c r="P93" s="10"/>
      <c r="Q93" s="83"/>
      <c r="R93" s="47"/>
      <c r="S93" s="83"/>
      <c r="T93" s="10"/>
      <c r="U93" s="83"/>
      <c r="V93" s="10"/>
      <c r="W93" s="83"/>
      <c r="X93" s="53"/>
      <c r="Y93" s="83"/>
      <c r="Z93" s="47"/>
      <c r="AA93" s="83"/>
      <c r="AB93" s="85"/>
      <c r="AC93" s="83"/>
      <c r="AD93" s="47"/>
      <c r="AE93" s="83"/>
      <c r="AF93" s="47"/>
      <c r="AG93" s="83"/>
      <c r="AH93" s="47"/>
      <c r="AI93" s="83"/>
      <c r="AJ93" s="10"/>
      <c r="AK93" s="83"/>
      <c r="AL93" s="47"/>
      <c r="AM93" s="83"/>
      <c r="AN93" s="83"/>
      <c r="AO93" s="83"/>
      <c r="AP93" s="10"/>
      <c r="AQ93" s="10"/>
      <c r="AR93" s="83"/>
      <c r="AS93" s="84"/>
      <c r="AT93" s="74"/>
      <c r="AU93" s="10"/>
      <c r="AV93" s="33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20"/>
      <c r="CG93" s="120"/>
      <c r="CH93" s="120"/>
      <c r="CI93" s="120"/>
      <c r="CJ93" s="120"/>
      <c r="CK93" s="120"/>
      <c r="CL93" s="120"/>
      <c r="CM93" s="120"/>
      <c r="CN93" s="120"/>
      <c r="CO93" s="120"/>
      <c r="CP93" s="120"/>
      <c r="CQ93" s="120"/>
      <c r="CR93" s="120"/>
      <c r="CS93" s="120"/>
      <c r="CT93" s="120"/>
      <c r="CU93" s="120"/>
      <c r="CV93" s="120"/>
      <c r="CW93" s="120"/>
      <c r="CX93" s="120"/>
      <c r="CY93" s="120"/>
      <c r="CZ93" s="120"/>
      <c r="DA93" s="120"/>
      <c r="DB93" s="120"/>
      <c r="DC93" s="120"/>
      <c r="DD93" s="120"/>
      <c r="DE93" s="120"/>
      <c r="DF93" s="120"/>
      <c r="DG93" s="120"/>
      <c r="DH93" s="120"/>
      <c r="DI93" s="120"/>
      <c r="DJ93" s="120"/>
      <c r="DK93" s="120"/>
      <c r="DL93" s="120"/>
      <c r="DM93" s="120"/>
      <c r="DN93" s="120"/>
      <c r="DO93" s="120"/>
      <c r="DP93" s="120"/>
      <c r="DQ93" s="120"/>
      <c r="DR93" s="120"/>
      <c r="DS93" s="120"/>
      <c r="DT93" s="120"/>
      <c r="DU93" s="120"/>
      <c r="DV93" s="120"/>
      <c r="DW93" s="120"/>
      <c r="DX93" s="120"/>
      <c r="DY93" s="120"/>
      <c r="DZ93" s="120"/>
      <c r="EA93" s="120"/>
      <c r="EB93" s="120"/>
      <c r="EC93" s="120"/>
      <c r="ED93" s="120"/>
      <c r="EE93" s="120"/>
      <c r="EF93" s="120"/>
      <c r="EG93" s="120"/>
      <c r="EH93" s="120"/>
      <c r="EI93" s="120"/>
      <c r="EJ93" s="120"/>
      <c r="EK93" s="120"/>
      <c r="EL93" s="120"/>
      <c r="EM93" s="120"/>
      <c r="EN93" s="120"/>
      <c r="EO93" s="120"/>
      <c r="EP93" s="120"/>
      <c r="EQ93" s="120"/>
      <c r="ER93" s="120"/>
      <c r="ES93" s="120"/>
      <c r="ET93" s="120"/>
      <c r="EU93" s="120"/>
      <c r="EV93" s="120"/>
      <c r="EW93" s="120"/>
      <c r="EX93" s="120"/>
      <c r="EY93" s="120"/>
      <c r="EZ93" s="120"/>
      <c r="FA93" s="120"/>
      <c r="FB93" s="120"/>
      <c r="FC93" s="120"/>
      <c r="FD93" s="120"/>
      <c r="FE93" s="120"/>
      <c r="FF93" s="120"/>
      <c r="FG93" s="120"/>
      <c r="FH93" s="120"/>
      <c r="FI93" s="120"/>
      <c r="FJ93" s="120"/>
      <c r="FK93" s="120"/>
      <c r="FL93" s="120"/>
      <c r="FM93" s="120"/>
      <c r="FN93" s="120"/>
      <c r="FO93" s="120"/>
      <c r="FP93" s="120"/>
      <c r="FQ93" s="120"/>
      <c r="FR93" s="120"/>
      <c r="FS93" s="120"/>
      <c r="FT93" s="120"/>
      <c r="FU93" s="120"/>
      <c r="FV93" s="120"/>
      <c r="FW93" s="120"/>
      <c r="FX93" s="120"/>
      <c r="FY93" s="120"/>
      <c r="FZ93" s="120"/>
      <c r="GA93" s="120"/>
      <c r="GB93" s="120"/>
      <c r="GC93" s="120"/>
      <c r="GD93" s="120"/>
      <c r="GE93" s="120"/>
      <c r="GF93" s="120"/>
      <c r="GG93" s="120"/>
      <c r="GH93" s="120"/>
      <c r="GI93" s="120"/>
      <c r="GJ93" s="120"/>
      <c r="GK93" s="120"/>
      <c r="GL93" s="120"/>
      <c r="GM93" s="120"/>
      <c r="GN93" s="120"/>
      <c r="GO93" s="120"/>
      <c r="GP93" s="120"/>
      <c r="GQ93" s="120"/>
      <c r="GR93" s="120"/>
      <c r="GS93" s="120"/>
      <c r="GT93" s="120"/>
      <c r="GU93" s="120"/>
      <c r="GV93" s="120"/>
      <c r="GW93" s="120"/>
      <c r="GX93" s="120"/>
      <c r="GY93" s="120"/>
      <c r="GZ93" s="120"/>
      <c r="HA93" s="120"/>
      <c r="HB93" s="120"/>
      <c r="HC93" s="120"/>
      <c r="HD93" s="120"/>
      <c r="HE93" s="120"/>
      <c r="HF93" s="120"/>
      <c r="HG93" s="120"/>
      <c r="HH93" s="120"/>
      <c r="HI93" s="120"/>
      <c r="HJ93" s="120"/>
      <c r="HK93" s="120"/>
      <c r="HL93" s="120"/>
      <c r="HM93" s="120"/>
      <c r="HN93" s="120"/>
      <c r="HO93" s="120"/>
      <c r="HP93" s="120"/>
      <c r="HQ93" s="120"/>
      <c r="HR93" s="120"/>
      <c r="HS93" s="120"/>
      <c r="HT93" s="120"/>
      <c r="HU93" s="120"/>
      <c r="HV93" s="120"/>
      <c r="HW93" s="120"/>
      <c r="HX93" s="120"/>
      <c r="HY93" s="120"/>
      <c r="HZ93" s="120"/>
      <c r="IA93" s="120"/>
      <c r="IB93" s="120"/>
      <c r="IC93" s="120"/>
      <c r="ID93" s="120"/>
      <c r="IE93" s="120"/>
      <c r="IF93" s="120"/>
      <c r="IG93" s="120"/>
      <c r="IH93" s="120"/>
      <c r="II93" s="120"/>
      <c r="IJ93" s="120"/>
      <c r="IK93" s="120"/>
      <c r="IL93" s="120"/>
      <c r="IM93" s="120"/>
      <c r="IN93" s="120"/>
      <c r="IO93" s="120"/>
      <c r="IP93" s="120"/>
      <c r="IQ93" s="120"/>
      <c r="IR93" s="120"/>
      <c r="IS93" s="120"/>
      <c r="IT93" s="120"/>
      <c r="IU93" s="120"/>
      <c r="IV93" s="120"/>
      <c r="IW93" s="120"/>
    </row>
    <row r="94" spans="1:257" ht="12" customHeight="1">
      <c r="A94" s="10"/>
      <c r="B94" s="10"/>
      <c r="C94" s="83"/>
      <c r="D94" s="10"/>
      <c r="E94" s="83"/>
      <c r="F94" s="10"/>
      <c r="G94" s="83"/>
      <c r="H94" s="10"/>
      <c r="I94" s="83"/>
      <c r="J94" s="10"/>
      <c r="K94" s="83"/>
      <c r="L94" s="85"/>
      <c r="M94" s="83"/>
      <c r="N94" s="10"/>
      <c r="O94" s="83"/>
      <c r="P94" s="10"/>
      <c r="Q94" s="83"/>
      <c r="R94" s="47"/>
      <c r="S94" s="83"/>
      <c r="T94" s="10"/>
      <c r="U94" s="83"/>
      <c r="V94" s="10"/>
      <c r="W94" s="83"/>
      <c r="X94" s="53"/>
      <c r="Y94" s="83"/>
      <c r="Z94" s="47"/>
      <c r="AA94" s="83"/>
      <c r="AB94" s="85"/>
      <c r="AC94" s="83"/>
      <c r="AD94" s="47"/>
      <c r="AE94" s="83"/>
      <c r="AF94" s="47"/>
      <c r="AG94" s="83"/>
      <c r="AH94" s="47"/>
      <c r="AI94" s="83"/>
      <c r="AJ94" s="10"/>
      <c r="AK94" s="83"/>
      <c r="AL94" s="47"/>
      <c r="AM94" s="83"/>
      <c r="AN94" s="83"/>
      <c r="AO94" s="83"/>
      <c r="AP94" s="10"/>
      <c r="AQ94" s="10"/>
      <c r="AR94" s="83"/>
      <c r="AS94" s="84"/>
      <c r="AT94" s="74"/>
      <c r="AU94" s="10"/>
      <c r="AV94" s="33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</row>
    <row r="95" spans="1:257" ht="12" customHeight="1">
      <c r="A95" s="10"/>
      <c r="B95" s="10"/>
      <c r="C95" s="83"/>
      <c r="D95" s="10"/>
      <c r="E95" s="83"/>
      <c r="F95" s="10"/>
      <c r="G95" s="83"/>
      <c r="H95" s="10"/>
      <c r="I95" s="83"/>
      <c r="J95" s="10"/>
      <c r="K95" s="83"/>
      <c r="L95" s="85"/>
      <c r="M95" s="83"/>
      <c r="N95" s="10"/>
      <c r="O95" s="83"/>
      <c r="P95" s="10"/>
      <c r="Q95" s="83"/>
      <c r="R95" s="47"/>
      <c r="S95" s="83"/>
      <c r="T95" s="10"/>
      <c r="U95" s="83"/>
      <c r="V95" s="10"/>
      <c r="W95" s="83"/>
      <c r="X95" s="53"/>
      <c r="Y95" s="83"/>
      <c r="Z95" s="47"/>
      <c r="AA95" s="83"/>
      <c r="AB95" s="85"/>
      <c r="AC95" s="83"/>
      <c r="AD95" s="47"/>
      <c r="AE95" s="83"/>
      <c r="AF95" s="47"/>
      <c r="AG95" s="83"/>
      <c r="AH95" s="47"/>
      <c r="AI95" s="83"/>
      <c r="AJ95" s="10"/>
      <c r="AK95" s="83"/>
      <c r="AL95" s="47"/>
      <c r="AM95" s="83"/>
      <c r="AN95" s="83"/>
      <c r="AO95" s="83"/>
      <c r="AP95" s="10"/>
      <c r="AQ95" s="10"/>
      <c r="AR95" s="83"/>
      <c r="AS95" s="84"/>
      <c r="AT95" s="74"/>
      <c r="AU95" s="10"/>
      <c r="AV95" s="33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</row>
    <row r="96" spans="1:257" ht="12" customHeight="1">
      <c r="A96" s="10"/>
      <c r="B96" s="10"/>
      <c r="C96" s="83"/>
      <c r="D96" s="10"/>
      <c r="E96" s="83"/>
      <c r="F96" s="10"/>
      <c r="G96" s="83"/>
      <c r="H96" s="10"/>
      <c r="I96" s="83"/>
      <c r="J96" s="10"/>
      <c r="K96" s="83"/>
      <c r="L96" s="85"/>
      <c r="M96" s="83"/>
      <c r="N96" s="10"/>
      <c r="O96" s="83"/>
      <c r="P96" s="10"/>
      <c r="Q96" s="83"/>
      <c r="R96" s="47"/>
      <c r="S96" s="83"/>
      <c r="T96" s="10"/>
      <c r="U96" s="83"/>
      <c r="V96" s="10"/>
      <c r="W96" s="83"/>
      <c r="X96" s="53"/>
      <c r="Y96" s="83"/>
      <c r="Z96" s="47"/>
      <c r="AA96" s="83"/>
      <c r="AB96" s="85"/>
      <c r="AC96" s="83"/>
      <c r="AD96" s="47"/>
      <c r="AE96" s="83"/>
      <c r="AF96" s="47"/>
      <c r="AG96" s="83"/>
      <c r="AH96" s="47"/>
      <c r="AI96" s="83"/>
      <c r="AJ96" s="10"/>
      <c r="AK96" s="83"/>
      <c r="AL96" s="47"/>
      <c r="AM96" s="83"/>
      <c r="AN96" s="83"/>
      <c r="AO96" s="83"/>
      <c r="AP96" s="10"/>
      <c r="AQ96" s="10"/>
      <c r="AR96" s="83"/>
      <c r="AS96" s="84"/>
      <c r="AT96" s="74"/>
      <c r="AU96" s="10"/>
      <c r="AV96" s="33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</row>
    <row r="97" spans="1:257" ht="12" customHeight="1">
      <c r="A97" s="10"/>
      <c r="B97" s="10"/>
      <c r="C97" s="83"/>
      <c r="D97" s="10"/>
      <c r="E97" s="83"/>
      <c r="F97" s="10"/>
      <c r="G97" s="83"/>
      <c r="H97" s="10"/>
      <c r="I97" s="83"/>
      <c r="J97" s="10"/>
      <c r="K97" s="83"/>
      <c r="L97" s="85"/>
      <c r="M97" s="83"/>
      <c r="N97" s="10"/>
      <c r="O97" s="83"/>
      <c r="P97" s="10"/>
      <c r="Q97" s="83"/>
      <c r="R97" s="47"/>
      <c r="S97" s="83"/>
      <c r="T97" s="10"/>
      <c r="U97" s="83"/>
      <c r="V97" s="10"/>
      <c r="W97" s="83"/>
      <c r="X97" s="53"/>
      <c r="Y97" s="83"/>
      <c r="Z97" s="47"/>
      <c r="AA97" s="83"/>
      <c r="AB97" s="85"/>
      <c r="AC97" s="83"/>
      <c r="AD97" s="47"/>
      <c r="AE97" s="83"/>
      <c r="AF97" s="47"/>
      <c r="AG97" s="83"/>
      <c r="AH97" s="47"/>
      <c r="AI97" s="83"/>
      <c r="AJ97" s="10"/>
      <c r="AK97" s="83"/>
      <c r="AL97" s="47"/>
      <c r="AM97" s="83"/>
      <c r="AN97" s="83"/>
      <c r="AO97" s="83"/>
      <c r="AP97" s="10"/>
      <c r="AQ97" s="10"/>
      <c r="AR97" s="83"/>
      <c r="AS97" s="84"/>
      <c r="AT97" s="74"/>
      <c r="AU97" s="10"/>
      <c r="AV97" s="33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</row>
    <row r="98" spans="1:257" ht="12" customHeight="1">
      <c r="A98" s="10"/>
      <c r="B98" s="10"/>
      <c r="C98" s="83"/>
      <c r="D98" s="10"/>
      <c r="E98" s="83"/>
      <c r="F98" s="10"/>
      <c r="G98" s="83"/>
      <c r="H98" s="10"/>
      <c r="I98" s="83"/>
      <c r="J98" s="10"/>
      <c r="K98" s="83"/>
      <c r="L98" s="85"/>
      <c r="M98" s="83"/>
      <c r="N98" s="10"/>
      <c r="O98" s="83"/>
      <c r="P98" s="10"/>
      <c r="Q98" s="83"/>
      <c r="R98" s="47"/>
      <c r="S98" s="83"/>
      <c r="T98" s="10"/>
      <c r="U98" s="83"/>
      <c r="V98" s="10"/>
      <c r="W98" s="83"/>
      <c r="X98" s="53"/>
      <c r="Y98" s="83"/>
      <c r="Z98" s="47"/>
      <c r="AA98" s="83"/>
      <c r="AB98" s="85"/>
      <c r="AC98" s="83"/>
      <c r="AD98" s="47"/>
      <c r="AE98" s="83"/>
      <c r="AF98" s="47"/>
      <c r="AG98" s="83"/>
      <c r="AH98" s="47"/>
      <c r="AI98" s="83"/>
      <c r="AJ98" s="10"/>
      <c r="AK98" s="83"/>
      <c r="AL98" s="47"/>
      <c r="AM98" s="83"/>
      <c r="AN98" s="83"/>
      <c r="AO98" s="83"/>
      <c r="AP98" s="10"/>
      <c r="AQ98" s="10"/>
      <c r="AR98" s="83"/>
      <c r="AS98" s="84"/>
      <c r="AT98" s="74"/>
      <c r="AU98" s="10"/>
      <c r="AV98" s="33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</row>
    <row r="99" spans="1:257" ht="12" customHeight="1">
      <c r="A99" s="10"/>
      <c r="B99" s="10"/>
      <c r="C99" s="83"/>
      <c r="D99" s="10"/>
      <c r="E99" s="83"/>
      <c r="F99" s="10"/>
      <c r="G99" s="83"/>
      <c r="H99" s="10"/>
      <c r="I99" s="83"/>
      <c r="J99" s="10"/>
      <c r="K99" s="83"/>
      <c r="L99" s="85"/>
      <c r="M99" s="83"/>
      <c r="N99" s="10"/>
      <c r="O99" s="83"/>
      <c r="P99" s="10"/>
      <c r="Q99" s="83"/>
      <c r="R99" s="47"/>
      <c r="S99" s="83"/>
      <c r="T99" s="10"/>
      <c r="U99" s="83"/>
      <c r="V99" s="10"/>
      <c r="W99" s="83"/>
      <c r="X99" s="53"/>
      <c r="Y99" s="83"/>
      <c r="Z99" s="47"/>
      <c r="AA99" s="83"/>
      <c r="AB99" s="85"/>
      <c r="AC99" s="83"/>
      <c r="AD99" s="47"/>
      <c r="AE99" s="83"/>
      <c r="AF99" s="47"/>
      <c r="AG99" s="83"/>
      <c r="AH99" s="47"/>
      <c r="AI99" s="83"/>
      <c r="AJ99" s="10"/>
      <c r="AK99" s="83"/>
      <c r="AL99" s="47"/>
      <c r="AM99" s="83"/>
      <c r="AN99" s="83"/>
      <c r="AO99" s="83"/>
      <c r="AP99" s="10"/>
      <c r="AQ99" s="10"/>
      <c r="AR99" s="83"/>
      <c r="AS99" s="84"/>
      <c r="AT99" s="74"/>
      <c r="AU99" s="10"/>
      <c r="AV99" s="33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</row>
    <row r="100" spans="1:257" ht="12" customHeight="1">
      <c r="A100" s="10"/>
      <c r="B100" s="10"/>
      <c r="C100" s="83"/>
      <c r="D100" s="10"/>
      <c r="E100" s="83"/>
      <c r="F100" s="10"/>
      <c r="G100" s="83"/>
      <c r="H100" s="10"/>
      <c r="I100" s="83"/>
      <c r="J100" s="10"/>
      <c r="K100" s="83"/>
      <c r="L100" s="85"/>
      <c r="M100" s="83"/>
      <c r="N100" s="10"/>
      <c r="O100" s="83"/>
      <c r="P100" s="10"/>
      <c r="Q100" s="83"/>
      <c r="R100" s="47"/>
      <c r="S100" s="83"/>
      <c r="T100" s="10"/>
      <c r="U100" s="83"/>
      <c r="V100" s="10"/>
      <c r="W100" s="83"/>
      <c r="X100" s="53"/>
      <c r="Y100" s="83"/>
      <c r="Z100" s="47"/>
      <c r="AA100" s="83"/>
      <c r="AB100" s="85"/>
      <c r="AC100" s="83"/>
      <c r="AD100" s="47"/>
      <c r="AE100" s="83"/>
      <c r="AF100" s="47"/>
      <c r="AG100" s="83"/>
      <c r="AH100" s="47"/>
      <c r="AI100" s="83"/>
      <c r="AJ100" s="10"/>
      <c r="AK100" s="83"/>
      <c r="AL100" s="47"/>
      <c r="AM100" s="83"/>
      <c r="AN100" s="83"/>
      <c r="AO100" s="83"/>
      <c r="AP100" s="10"/>
      <c r="AQ100" s="10"/>
      <c r="AR100" s="83"/>
      <c r="AS100" s="84"/>
      <c r="AT100" s="74"/>
      <c r="AU100" s="10"/>
      <c r="AV100" s="33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</row>
    <row r="101" spans="1:257" ht="12" customHeight="1">
      <c r="A101" s="10"/>
      <c r="B101" s="10"/>
      <c r="C101" s="83"/>
      <c r="D101" s="10"/>
      <c r="E101" s="83"/>
      <c r="F101" s="10"/>
      <c r="G101" s="83"/>
      <c r="H101" s="10"/>
      <c r="I101" s="83"/>
      <c r="J101" s="10"/>
      <c r="K101" s="83"/>
      <c r="L101" s="85"/>
      <c r="M101" s="83"/>
      <c r="N101" s="10"/>
      <c r="O101" s="83"/>
      <c r="P101" s="10"/>
      <c r="Q101" s="83"/>
      <c r="R101" s="47"/>
      <c r="S101" s="83"/>
      <c r="T101" s="10"/>
      <c r="U101" s="83"/>
      <c r="V101" s="10"/>
      <c r="W101" s="83"/>
      <c r="X101" s="53"/>
      <c r="Y101" s="83"/>
      <c r="Z101" s="47"/>
      <c r="AA101" s="83"/>
      <c r="AB101" s="85"/>
      <c r="AC101" s="83"/>
      <c r="AD101" s="47"/>
      <c r="AE101" s="83"/>
      <c r="AF101" s="47"/>
      <c r="AG101" s="83"/>
      <c r="AH101" s="47"/>
      <c r="AI101" s="83"/>
      <c r="AJ101" s="10"/>
      <c r="AK101" s="83"/>
      <c r="AL101" s="47"/>
      <c r="AM101" s="83"/>
      <c r="AN101" s="83"/>
      <c r="AO101" s="83"/>
      <c r="AP101" s="10"/>
      <c r="AQ101" s="10"/>
      <c r="AR101" s="83"/>
      <c r="AS101" s="84"/>
      <c r="AT101" s="74"/>
      <c r="AU101" s="10"/>
      <c r="AV101" s="33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</row>
    <row r="102" spans="1:257" ht="12" customHeight="1">
      <c r="A102" s="10"/>
      <c r="B102" s="10"/>
      <c r="C102" s="83"/>
      <c r="D102" s="10"/>
      <c r="E102" s="83"/>
      <c r="F102" s="10"/>
      <c r="G102" s="83"/>
      <c r="H102" s="10"/>
      <c r="I102" s="83"/>
      <c r="J102" s="10"/>
      <c r="K102" s="83"/>
      <c r="L102" s="85"/>
      <c r="M102" s="83"/>
      <c r="N102" s="10"/>
      <c r="O102" s="83"/>
      <c r="P102" s="10"/>
      <c r="Q102" s="83"/>
      <c r="R102" s="47"/>
      <c r="S102" s="83"/>
      <c r="T102" s="10"/>
      <c r="U102" s="83"/>
      <c r="V102" s="10"/>
      <c r="W102" s="83"/>
      <c r="X102" s="53"/>
      <c r="Y102" s="83"/>
      <c r="Z102" s="47"/>
      <c r="AA102" s="83"/>
      <c r="AB102" s="85"/>
      <c r="AC102" s="83"/>
      <c r="AD102" s="47"/>
      <c r="AE102" s="83"/>
      <c r="AF102" s="47"/>
      <c r="AG102" s="83"/>
      <c r="AH102" s="47"/>
      <c r="AI102" s="83"/>
      <c r="AJ102" s="10"/>
      <c r="AK102" s="83"/>
      <c r="AL102" s="47"/>
      <c r="AM102" s="83"/>
      <c r="AN102" s="83"/>
      <c r="AO102" s="83"/>
      <c r="AP102" s="10"/>
      <c r="AQ102" s="10"/>
      <c r="AR102" s="83"/>
      <c r="AS102" s="84"/>
      <c r="AT102" s="74"/>
      <c r="AU102" s="10"/>
      <c r="AV102" s="33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</row>
    <row r="103" spans="1:257" ht="12" customHeight="1">
      <c r="A103" s="10"/>
      <c r="B103" s="10"/>
      <c r="C103" s="83"/>
      <c r="D103" s="10"/>
      <c r="E103" s="83"/>
      <c r="F103" s="10"/>
      <c r="G103" s="83"/>
      <c r="H103" s="10"/>
      <c r="I103" s="83"/>
      <c r="J103" s="10"/>
      <c r="K103" s="83"/>
      <c r="L103" s="85"/>
      <c r="M103" s="83"/>
      <c r="N103" s="10"/>
      <c r="O103" s="83"/>
      <c r="P103" s="10"/>
      <c r="Q103" s="83"/>
      <c r="R103" s="47"/>
      <c r="S103" s="83"/>
      <c r="T103" s="10"/>
      <c r="U103" s="83"/>
      <c r="V103" s="10"/>
      <c r="W103" s="83"/>
      <c r="X103" s="53"/>
      <c r="Y103" s="83"/>
      <c r="Z103" s="47"/>
      <c r="AA103" s="83"/>
      <c r="AB103" s="85"/>
      <c r="AC103" s="83"/>
      <c r="AD103" s="47"/>
      <c r="AE103" s="83"/>
      <c r="AF103" s="47"/>
      <c r="AG103" s="83"/>
      <c r="AH103" s="47"/>
      <c r="AI103" s="83"/>
      <c r="AJ103" s="10"/>
      <c r="AK103" s="83"/>
      <c r="AL103" s="47"/>
      <c r="AM103" s="83"/>
      <c r="AN103" s="83"/>
      <c r="AO103" s="83"/>
      <c r="AP103" s="10"/>
      <c r="AQ103" s="10"/>
      <c r="AR103" s="83"/>
      <c r="AS103" s="84"/>
      <c r="AT103" s="74"/>
      <c r="AU103" s="10"/>
      <c r="AV103" s="33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  <c r="HE103" s="10"/>
      <c r="HF103" s="10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10"/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10"/>
    </row>
    <row r="104" spans="1:257" ht="12" customHeight="1">
      <c r="A104" s="10"/>
      <c r="B104" s="10"/>
      <c r="C104" s="83"/>
      <c r="D104" s="10"/>
      <c r="E104" s="83"/>
      <c r="F104" s="10"/>
      <c r="G104" s="83"/>
      <c r="H104" s="10"/>
      <c r="I104" s="83"/>
      <c r="J104" s="10"/>
      <c r="K104" s="83"/>
      <c r="L104" s="85"/>
      <c r="M104" s="83"/>
      <c r="N104" s="10"/>
      <c r="O104" s="83"/>
      <c r="P104" s="10"/>
      <c r="Q104" s="83"/>
      <c r="R104" s="47"/>
      <c r="S104" s="83"/>
      <c r="T104" s="10"/>
      <c r="U104" s="83"/>
      <c r="V104" s="10"/>
      <c r="W104" s="83"/>
      <c r="X104" s="53"/>
      <c r="Y104" s="83"/>
      <c r="Z104" s="47"/>
      <c r="AA104" s="83"/>
      <c r="AB104" s="85"/>
      <c r="AC104" s="83"/>
      <c r="AD104" s="47"/>
      <c r="AE104" s="83"/>
      <c r="AF104" s="47"/>
      <c r="AG104" s="83"/>
      <c r="AH104" s="47"/>
      <c r="AI104" s="83"/>
      <c r="AJ104" s="10"/>
      <c r="AK104" s="83"/>
      <c r="AL104" s="47"/>
      <c r="AM104" s="83"/>
      <c r="AN104" s="83"/>
      <c r="AO104" s="83"/>
      <c r="AP104" s="10"/>
      <c r="AQ104" s="10"/>
      <c r="AR104" s="83"/>
      <c r="AS104" s="84"/>
      <c r="AT104" s="74"/>
      <c r="AU104" s="10"/>
      <c r="AV104" s="33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/>
      <c r="HG104" s="10"/>
      <c r="HH104" s="10"/>
      <c r="HI104" s="10"/>
      <c r="HJ104" s="10"/>
      <c r="HK104" s="10"/>
      <c r="HL104" s="10"/>
      <c r="HM104" s="10"/>
      <c r="HN104" s="10"/>
      <c r="HO104" s="10"/>
      <c r="HP104" s="10"/>
      <c r="HQ104" s="10"/>
      <c r="HR104" s="10"/>
      <c r="HS104" s="10"/>
      <c r="HT104" s="10"/>
      <c r="HU104" s="10"/>
      <c r="HV104" s="10"/>
      <c r="HW104" s="10"/>
      <c r="HX104" s="10"/>
      <c r="HY104" s="10"/>
      <c r="HZ104" s="10"/>
      <c r="IA104" s="10"/>
      <c r="IB104" s="10"/>
      <c r="IC104" s="10"/>
      <c r="ID104" s="10"/>
      <c r="IE104" s="10"/>
      <c r="IF104" s="10"/>
      <c r="IG104" s="10"/>
      <c r="IH104" s="10"/>
      <c r="II104" s="10"/>
      <c r="IJ104" s="10"/>
      <c r="IK104" s="10"/>
      <c r="IL104" s="10"/>
      <c r="IM104" s="10"/>
      <c r="IN104" s="10"/>
      <c r="IO104" s="10"/>
      <c r="IP104" s="10"/>
      <c r="IQ104" s="10"/>
      <c r="IR104" s="10"/>
      <c r="IS104" s="10"/>
      <c r="IT104" s="10"/>
      <c r="IU104" s="10"/>
      <c r="IV104" s="10"/>
      <c r="IW104" s="10"/>
    </row>
    <row r="105" spans="1:257" ht="12" customHeight="1">
      <c r="A105" s="10"/>
      <c r="B105" s="10"/>
      <c r="C105" s="83"/>
      <c r="D105" s="10"/>
      <c r="E105" s="83"/>
      <c r="F105" s="10"/>
      <c r="G105" s="83"/>
      <c r="H105" s="10"/>
      <c r="I105" s="83"/>
      <c r="J105" s="10"/>
      <c r="K105" s="83"/>
      <c r="L105" s="85"/>
      <c r="M105" s="83"/>
      <c r="N105" s="10"/>
      <c r="O105" s="83"/>
      <c r="P105" s="10"/>
      <c r="Q105" s="83"/>
      <c r="R105" s="47"/>
      <c r="S105" s="83"/>
      <c r="T105" s="10"/>
      <c r="U105" s="83"/>
      <c r="V105" s="10"/>
      <c r="W105" s="83"/>
      <c r="X105" s="53"/>
      <c r="Y105" s="83"/>
      <c r="Z105" s="47"/>
      <c r="AA105" s="83"/>
      <c r="AB105" s="85"/>
      <c r="AC105" s="83"/>
      <c r="AD105" s="47"/>
      <c r="AE105" s="83"/>
      <c r="AF105" s="47"/>
      <c r="AG105" s="83"/>
      <c r="AH105" s="47"/>
      <c r="AI105" s="83"/>
      <c r="AJ105" s="10"/>
      <c r="AK105" s="83"/>
      <c r="AL105" s="47"/>
      <c r="AM105" s="83"/>
      <c r="AN105" s="83"/>
      <c r="AO105" s="83"/>
      <c r="AP105" s="10"/>
      <c r="AQ105" s="10"/>
      <c r="AR105" s="83"/>
      <c r="AS105" s="84"/>
      <c r="AT105" s="74"/>
      <c r="AU105" s="10"/>
      <c r="AV105" s="33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/>
      <c r="HY105" s="10"/>
      <c r="HZ105" s="10"/>
      <c r="IA105" s="10"/>
      <c r="IB105" s="10"/>
      <c r="IC105" s="10"/>
      <c r="ID105" s="10"/>
      <c r="IE105" s="10"/>
      <c r="IF105" s="10"/>
      <c r="IG105" s="10"/>
      <c r="IH105" s="10"/>
      <c r="II105" s="10"/>
      <c r="IJ105" s="10"/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  <c r="IW105" s="10"/>
    </row>
    <row r="106" spans="1:257" ht="12" customHeight="1">
      <c r="A106" s="10"/>
      <c r="B106" s="10"/>
      <c r="C106" s="83"/>
      <c r="D106" s="10"/>
      <c r="E106" s="83"/>
      <c r="F106" s="10"/>
      <c r="G106" s="83"/>
      <c r="H106" s="10"/>
      <c r="I106" s="83"/>
      <c r="J106" s="10"/>
      <c r="K106" s="83"/>
      <c r="L106" s="85"/>
      <c r="M106" s="83"/>
      <c r="N106" s="10"/>
      <c r="O106" s="83"/>
      <c r="P106" s="10"/>
      <c r="Q106" s="83"/>
      <c r="R106" s="47"/>
      <c r="S106" s="83"/>
      <c r="T106" s="10"/>
      <c r="U106" s="83"/>
      <c r="V106" s="10"/>
      <c r="W106" s="83"/>
      <c r="X106" s="53"/>
      <c r="Y106" s="83"/>
      <c r="Z106" s="47"/>
      <c r="AA106" s="83"/>
      <c r="AB106" s="85"/>
      <c r="AC106" s="83"/>
      <c r="AD106" s="47"/>
      <c r="AE106" s="83"/>
      <c r="AF106" s="47"/>
      <c r="AG106" s="83"/>
      <c r="AH106" s="47"/>
      <c r="AI106" s="83"/>
      <c r="AJ106" s="10"/>
      <c r="AK106" s="83"/>
      <c r="AL106" s="47"/>
      <c r="AM106" s="83"/>
      <c r="AN106" s="83"/>
      <c r="AO106" s="83"/>
      <c r="AP106" s="10"/>
      <c r="AQ106" s="10"/>
      <c r="AR106" s="83"/>
      <c r="AS106" s="84"/>
      <c r="AT106" s="74"/>
      <c r="AU106" s="10"/>
      <c r="AV106" s="33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10"/>
      <c r="IK106" s="10"/>
      <c r="IL106" s="10"/>
      <c r="IM106" s="10"/>
      <c r="IN106" s="10"/>
      <c r="IO106" s="10"/>
      <c r="IP106" s="10"/>
      <c r="IQ106" s="10"/>
      <c r="IR106" s="10"/>
      <c r="IS106" s="10"/>
      <c r="IT106" s="10"/>
      <c r="IU106" s="10"/>
      <c r="IV106" s="10"/>
      <c r="IW106" s="10"/>
    </row>
    <row r="107" spans="1:257" ht="12" customHeight="1">
      <c r="A107" s="10"/>
      <c r="B107" s="10"/>
      <c r="C107" s="83"/>
      <c r="D107" s="10"/>
      <c r="E107" s="83"/>
      <c r="F107" s="10"/>
      <c r="G107" s="83"/>
      <c r="H107" s="10"/>
      <c r="I107" s="83"/>
      <c r="J107" s="10"/>
      <c r="K107" s="83"/>
      <c r="L107" s="85"/>
      <c r="M107" s="83"/>
      <c r="N107" s="10"/>
      <c r="O107" s="83"/>
      <c r="P107" s="10"/>
      <c r="Q107" s="83"/>
      <c r="R107" s="47"/>
      <c r="S107" s="83"/>
      <c r="T107" s="10"/>
      <c r="U107" s="83"/>
      <c r="V107" s="10"/>
      <c r="W107" s="83"/>
      <c r="X107" s="53"/>
      <c r="Y107" s="83"/>
      <c r="Z107" s="47"/>
      <c r="AA107" s="83"/>
      <c r="AB107" s="85"/>
      <c r="AC107" s="83"/>
      <c r="AD107" s="47"/>
      <c r="AE107" s="83"/>
      <c r="AF107" s="47"/>
      <c r="AG107" s="83"/>
      <c r="AH107" s="47"/>
      <c r="AI107" s="83"/>
      <c r="AJ107" s="10"/>
      <c r="AK107" s="83"/>
      <c r="AL107" s="47"/>
      <c r="AM107" s="83"/>
      <c r="AN107" s="83"/>
      <c r="AO107" s="83"/>
      <c r="AP107" s="10"/>
      <c r="AQ107" s="10"/>
      <c r="AR107" s="83"/>
      <c r="AS107" s="84"/>
      <c r="AT107" s="74"/>
      <c r="AU107" s="10"/>
      <c r="AV107" s="33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  <c r="IF107" s="10"/>
      <c r="IG107" s="10"/>
      <c r="IH107" s="10"/>
      <c r="II107" s="10"/>
      <c r="IJ107" s="10"/>
      <c r="IK107" s="10"/>
      <c r="IL107" s="10"/>
      <c r="IM107" s="10"/>
      <c r="IN107" s="10"/>
      <c r="IO107" s="10"/>
      <c r="IP107" s="10"/>
      <c r="IQ107" s="10"/>
      <c r="IR107" s="10"/>
      <c r="IS107" s="10"/>
      <c r="IT107" s="10"/>
      <c r="IU107" s="10"/>
      <c r="IV107" s="10"/>
      <c r="IW107" s="10"/>
    </row>
    <row r="108" spans="1:257" ht="12" customHeight="1">
      <c r="A108" s="10"/>
      <c r="B108" s="10"/>
      <c r="C108" s="83"/>
      <c r="D108" s="10"/>
      <c r="E108" s="83"/>
      <c r="F108" s="10"/>
      <c r="G108" s="83"/>
      <c r="H108" s="10"/>
      <c r="I108" s="83"/>
      <c r="J108" s="10"/>
      <c r="K108" s="83"/>
      <c r="L108" s="85"/>
      <c r="M108" s="83"/>
      <c r="N108" s="10"/>
      <c r="O108" s="83"/>
      <c r="P108" s="10"/>
      <c r="Q108" s="83"/>
      <c r="R108" s="47"/>
      <c r="S108" s="83"/>
      <c r="T108" s="10"/>
      <c r="U108" s="83"/>
      <c r="V108" s="10"/>
      <c r="W108" s="83"/>
      <c r="X108" s="53"/>
      <c r="Y108" s="83"/>
      <c r="Z108" s="47"/>
      <c r="AA108" s="83"/>
      <c r="AB108" s="85"/>
      <c r="AC108" s="83"/>
      <c r="AD108" s="47"/>
      <c r="AE108" s="83"/>
      <c r="AF108" s="47"/>
      <c r="AG108" s="83"/>
      <c r="AH108" s="47"/>
      <c r="AI108" s="83"/>
      <c r="AJ108" s="10"/>
      <c r="AK108" s="83"/>
      <c r="AL108" s="47"/>
      <c r="AM108" s="83"/>
      <c r="AN108" s="83"/>
      <c r="AO108" s="83"/>
      <c r="AP108" s="10"/>
      <c r="AQ108" s="10"/>
      <c r="AR108" s="83"/>
      <c r="AS108" s="84"/>
      <c r="AT108" s="74"/>
      <c r="AU108" s="10"/>
      <c r="AV108" s="33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  <c r="IF108" s="10"/>
      <c r="IG108" s="10"/>
      <c r="IH108" s="10"/>
      <c r="II108" s="10"/>
      <c r="IJ108" s="10"/>
      <c r="IK108" s="10"/>
      <c r="IL108" s="10"/>
      <c r="IM108" s="10"/>
      <c r="IN108" s="10"/>
      <c r="IO108" s="10"/>
      <c r="IP108" s="10"/>
      <c r="IQ108" s="10"/>
      <c r="IR108" s="10"/>
      <c r="IS108" s="10"/>
      <c r="IT108" s="10"/>
      <c r="IU108" s="10"/>
      <c r="IV108" s="10"/>
      <c r="IW108" s="10"/>
    </row>
    <row r="109" spans="1:257" ht="12" customHeight="1">
      <c r="A109" s="10"/>
      <c r="B109" s="10"/>
      <c r="C109" s="83"/>
      <c r="D109" s="10"/>
      <c r="E109" s="83"/>
      <c r="F109" s="10"/>
      <c r="G109" s="83"/>
      <c r="H109" s="10"/>
      <c r="I109" s="83"/>
      <c r="J109" s="10"/>
      <c r="K109" s="83"/>
      <c r="L109" s="85"/>
      <c r="M109" s="83"/>
      <c r="N109" s="10"/>
      <c r="O109" s="83"/>
      <c r="P109" s="10"/>
      <c r="Q109" s="83"/>
      <c r="R109" s="47"/>
      <c r="S109" s="83"/>
      <c r="T109" s="10"/>
      <c r="U109" s="83"/>
      <c r="V109" s="10"/>
      <c r="W109" s="83"/>
      <c r="X109" s="53"/>
      <c r="Y109" s="83"/>
      <c r="Z109" s="47"/>
      <c r="AA109" s="83"/>
      <c r="AB109" s="85"/>
      <c r="AC109" s="83"/>
      <c r="AD109" s="47"/>
      <c r="AE109" s="83"/>
      <c r="AF109" s="47"/>
      <c r="AG109" s="83"/>
      <c r="AH109" s="47"/>
      <c r="AI109" s="83"/>
      <c r="AJ109" s="10"/>
      <c r="AK109" s="83"/>
      <c r="AL109" s="47"/>
      <c r="AM109" s="83"/>
      <c r="AN109" s="83"/>
      <c r="AO109" s="83"/>
      <c r="AP109" s="10"/>
      <c r="AQ109" s="10"/>
      <c r="AR109" s="83"/>
      <c r="AS109" s="84"/>
      <c r="AT109" s="74"/>
      <c r="AU109" s="10"/>
      <c r="AV109" s="33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  <c r="IF109" s="10"/>
      <c r="IG109" s="10"/>
      <c r="IH109" s="10"/>
      <c r="II109" s="10"/>
      <c r="IJ109" s="10"/>
      <c r="IK109" s="10"/>
      <c r="IL109" s="10"/>
      <c r="IM109" s="10"/>
      <c r="IN109" s="10"/>
      <c r="IO109" s="10"/>
      <c r="IP109" s="10"/>
      <c r="IQ109" s="10"/>
      <c r="IR109" s="10"/>
      <c r="IS109" s="10"/>
      <c r="IT109" s="10"/>
      <c r="IU109" s="10"/>
      <c r="IV109" s="10"/>
      <c r="IW109" s="10"/>
    </row>
    <row r="110" spans="1:257" ht="12" customHeight="1">
      <c r="A110" s="10"/>
      <c r="B110" s="10"/>
      <c r="C110" s="83"/>
      <c r="D110" s="10"/>
      <c r="E110" s="83"/>
      <c r="F110" s="10"/>
      <c r="G110" s="83"/>
      <c r="H110" s="10"/>
      <c r="I110" s="83"/>
      <c r="J110" s="10"/>
      <c r="K110" s="83"/>
      <c r="L110" s="85"/>
      <c r="M110" s="83"/>
      <c r="N110" s="10"/>
      <c r="O110" s="83"/>
      <c r="P110" s="10"/>
      <c r="Q110" s="83"/>
      <c r="R110" s="47"/>
      <c r="S110" s="83"/>
      <c r="T110" s="10"/>
      <c r="U110" s="83"/>
      <c r="V110" s="10"/>
      <c r="W110" s="83"/>
      <c r="X110" s="53"/>
      <c r="Y110" s="83"/>
      <c r="Z110" s="47"/>
      <c r="AA110" s="83"/>
      <c r="AB110" s="85"/>
      <c r="AC110" s="83"/>
      <c r="AD110" s="47"/>
      <c r="AE110" s="83"/>
      <c r="AF110" s="47"/>
      <c r="AG110" s="83"/>
      <c r="AH110" s="47"/>
      <c r="AI110" s="83"/>
      <c r="AJ110" s="10"/>
      <c r="AK110" s="83"/>
      <c r="AL110" s="47"/>
      <c r="AM110" s="83"/>
      <c r="AN110" s="83"/>
      <c r="AO110" s="83"/>
      <c r="AP110" s="10"/>
      <c r="AQ110" s="10"/>
      <c r="AR110" s="83"/>
      <c r="AS110" s="84"/>
      <c r="AT110" s="74"/>
      <c r="AU110" s="10"/>
      <c r="AV110" s="33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</row>
    <row r="111" spans="1:257" ht="12" customHeight="1">
      <c r="A111" s="10"/>
      <c r="B111" s="10"/>
      <c r="C111" s="83"/>
      <c r="D111" s="10"/>
      <c r="E111" s="83"/>
      <c r="F111" s="10"/>
      <c r="G111" s="83"/>
      <c r="H111" s="10"/>
      <c r="I111" s="83"/>
      <c r="J111" s="10"/>
      <c r="K111" s="83"/>
      <c r="L111" s="85"/>
      <c r="M111" s="83"/>
      <c r="N111" s="10"/>
      <c r="O111" s="83"/>
      <c r="P111" s="10"/>
      <c r="Q111" s="83"/>
      <c r="R111" s="47"/>
      <c r="S111" s="83"/>
      <c r="T111" s="10"/>
      <c r="U111" s="83"/>
      <c r="V111" s="10"/>
      <c r="W111" s="83"/>
      <c r="X111" s="53"/>
      <c r="Y111" s="83"/>
      <c r="Z111" s="47"/>
      <c r="AA111" s="83"/>
      <c r="AB111" s="85"/>
      <c r="AC111" s="83"/>
      <c r="AD111" s="47"/>
      <c r="AE111" s="83"/>
      <c r="AF111" s="47"/>
      <c r="AG111" s="83"/>
      <c r="AH111" s="47"/>
      <c r="AI111" s="83"/>
      <c r="AJ111" s="10"/>
      <c r="AK111" s="83"/>
      <c r="AL111" s="47"/>
      <c r="AM111" s="83"/>
      <c r="AN111" s="83"/>
      <c r="AO111" s="83"/>
      <c r="AP111" s="10"/>
      <c r="AQ111" s="10"/>
      <c r="AR111" s="83"/>
      <c r="AS111" s="84"/>
      <c r="AT111" s="74"/>
      <c r="AU111" s="10"/>
      <c r="AV111" s="33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</row>
    <row r="112" spans="1:257" ht="12" customHeight="1">
      <c r="A112" s="10"/>
      <c r="B112" s="10"/>
      <c r="C112" s="83"/>
      <c r="D112" s="10"/>
      <c r="E112" s="83"/>
      <c r="F112" s="10"/>
      <c r="G112" s="83"/>
      <c r="H112" s="10"/>
      <c r="I112" s="83"/>
      <c r="J112" s="10"/>
      <c r="K112" s="83"/>
      <c r="L112" s="85"/>
      <c r="M112" s="83"/>
      <c r="N112" s="10"/>
      <c r="O112" s="83"/>
      <c r="P112" s="10"/>
      <c r="Q112" s="83"/>
      <c r="R112" s="47"/>
      <c r="S112" s="83"/>
      <c r="T112" s="10"/>
      <c r="U112" s="83"/>
      <c r="V112" s="10"/>
      <c r="W112" s="83"/>
      <c r="X112" s="53"/>
      <c r="Y112" s="83"/>
      <c r="Z112" s="47"/>
      <c r="AA112" s="83"/>
      <c r="AB112" s="85"/>
      <c r="AC112" s="83"/>
      <c r="AD112" s="47"/>
      <c r="AE112" s="83"/>
      <c r="AF112" s="47"/>
      <c r="AG112" s="83"/>
      <c r="AH112" s="47"/>
      <c r="AI112" s="83"/>
      <c r="AJ112" s="10"/>
      <c r="AK112" s="83"/>
      <c r="AL112" s="47"/>
      <c r="AM112" s="83"/>
      <c r="AN112" s="83"/>
      <c r="AO112" s="83"/>
      <c r="AP112" s="10"/>
      <c r="AQ112" s="10"/>
      <c r="AR112" s="83"/>
      <c r="AS112" s="84"/>
      <c r="AT112" s="74"/>
      <c r="AU112" s="10"/>
      <c r="AV112" s="33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  <c r="HE112" s="10"/>
      <c r="HF112" s="10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/>
      <c r="HQ112" s="10"/>
      <c r="HR112" s="10"/>
      <c r="HS112" s="10"/>
      <c r="HT112" s="10"/>
      <c r="HU112" s="10"/>
      <c r="HV112" s="10"/>
      <c r="HW112" s="10"/>
      <c r="HX112" s="10"/>
      <c r="HY112" s="10"/>
      <c r="HZ112" s="10"/>
      <c r="IA112" s="10"/>
      <c r="IB112" s="10"/>
      <c r="IC112" s="10"/>
      <c r="ID112" s="10"/>
      <c r="IE112" s="10"/>
      <c r="IF112" s="10"/>
      <c r="IG112" s="10"/>
      <c r="IH112" s="10"/>
      <c r="II112" s="10"/>
      <c r="IJ112" s="10"/>
      <c r="IK112" s="10"/>
      <c r="IL112" s="10"/>
      <c r="IM112" s="10"/>
      <c r="IN112" s="10"/>
      <c r="IO112" s="10"/>
      <c r="IP112" s="10"/>
      <c r="IQ112" s="10"/>
      <c r="IR112" s="10"/>
      <c r="IS112" s="10"/>
      <c r="IT112" s="10"/>
      <c r="IU112" s="10"/>
      <c r="IV112" s="10"/>
      <c r="IW112" s="10"/>
    </row>
    <row r="113" spans="1:257" ht="12" customHeight="1">
      <c r="A113" s="10"/>
      <c r="B113" s="10"/>
      <c r="C113" s="83"/>
      <c r="D113" s="10"/>
      <c r="E113" s="83"/>
      <c r="F113" s="10"/>
      <c r="G113" s="83"/>
      <c r="H113" s="10"/>
      <c r="I113" s="83"/>
      <c r="J113" s="10"/>
      <c r="K113" s="83"/>
      <c r="L113" s="85"/>
      <c r="M113" s="83"/>
      <c r="N113" s="10"/>
      <c r="O113" s="83"/>
      <c r="P113" s="10"/>
      <c r="Q113" s="83"/>
      <c r="R113" s="47"/>
      <c r="S113" s="83"/>
      <c r="T113" s="10"/>
      <c r="U113" s="83"/>
      <c r="V113" s="10"/>
      <c r="W113" s="83"/>
      <c r="X113" s="53"/>
      <c r="Y113" s="83"/>
      <c r="Z113" s="47"/>
      <c r="AA113" s="83"/>
      <c r="AB113" s="85"/>
      <c r="AC113" s="83"/>
      <c r="AD113" s="47"/>
      <c r="AE113" s="83"/>
      <c r="AF113" s="47"/>
      <c r="AG113" s="83"/>
      <c r="AH113" s="47"/>
      <c r="AI113" s="83"/>
      <c r="AJ113" s="10"/>
      <c r="AK113" s="83"/>
      <c r="AL113" s="47"/>
      <c r="AM113" s="83"/>
      <c r="AN113" s="83"/>
      <c r="AO113" s="83"/>
      <c r="AP113" s="10"/>
      <c r="AQ113" s="10"/>
      <c r="AR113" s="83"/>
      <c r="AS113" s="84"/>
      <c r="AT113" s="74"/>
      <c r="AU113" s="10"/>
      <c r="AV113" s="33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</row>
    <row r="114" spans="1:257" ht="12" customHeight="1">
      <c r="A114" s="10"/>
      <c r="B114" s="10"/>
      <c r="C114" s="83"/>
      <c r="D114" s="10"/>
      <c r="E114" s="83"/>
      <c r="F114" s="10"/>
      <c r="G114" s="83"/>
      <c r="H114" s="10"/>
      <c r="I114" s="83"/>
      <c r="J114" s="10"/>
      <c r="K114" s="83"/>
      <c r="L114" s="85"/>
      <c r="M114" s="83"/>
      <c r="N114" s="10"/>
      <c r="O114" s="83"/>
      <c r="P114" s="10"/>
      <c r="Q114" s="83"/>
      <c r="R114" s="47"/>
      <c r="S114" s="83"/>
      <c r="T114" s="10"/>
      <c r="U114" s="83"/>
      <c r="V114" s="10"/>
      <c r="W114" s="83"/>
      <c r="X114" s="53"/>
      <c r="Y114" s="83"/>
      <c r="Z114" s="47"/>
      <c r="AA114" s="83"/>
      <c r="AB114" s="85"/>
      <c r="AC114" s="83"/>
      <c r="AD114" s="47"/>
      <c r="AE114" s="83"/>
      <c r="AF114" s="47"/>
      <c r="AG114" s="83"/>
      <c r="AH114" s="47"/>
      <c r="AI114" s="83"/>
      <c r="AJ114" s="10"/>
      <c r="AK114" s="83"/>
      <c r="AL114" s="47"/>
      <c r="AM114" s="83"/>
      <c r="AN114" s="83"/>
      <c r="AO114" s="83"/>
      <c r="AP114" s="10"/>
      <c r="AQ114" s="10"/>
      <c r="AR114" s="83"/>
      <c r="AS114" s="84"/>
      <c r="AT114" s="74"/>
      <c r="AU114" s="10"/>
      <c r="AV114" s="33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/>
      <c r="HQ114" s="10"/>
      <c r="HR114" s="10"/>
      <c r="HS114" s="10"/>
      <c r="HT114" s="10"/>
      <c r="HU114" s="10"/>
      <c r="HV114" s="10"/>
      <c r="HW114" s="10"/>
      <c r="HX114" s="10"/>
      <c r="HY114" s="10"/>
      <c r="HZ114" s="10"/>
      <c r="IA114" s="10"/>
      <c r="IB114" s="10"/>
      <c r="IC114" s="10"/>
      <c r="ID114" s="10"/>
      <c r="IE114" s="10"/>
      <c r="IF114" s="10"/>
      <c r="IG114" s="10"/>
      <c r="IH114" s="10"/>
      <c r="II114" s="10"/>
      <c r="IJ114" s="10"/>
      <c r="IK114" s="10"/>
      <c r="IL114" s="10"/>
      <c r="IM114" s="10"/>
      <c r="IN114" s="10"/>
      <c r="IO114" s="10"/>
      <c r="IP114" s="10"/>
      <c r="IQ114" s="10"/>
      <c r="IR114" s="10"/>
      <c r="IS114" s="10"/>
      <c r="IT114" s="10"/>
      <c r="IU114" s="10"/>
      <c r="IV114" s="10"/>
      <c r="IW114" s="10"/>
    </row>
    <row r="115" spans="1:257" ht="12" customHeight="1">
      <c r="A115" s="10"/>
      <c r="B115" s="10"/>
      <c r="C115" s="83"/>
      <c r="D115" s="10"/>
      <c r="E115" s="83"/>
      <c r="F115" s="10"/>
      <c r="G115" s="83"/>
      <c r="H115" s="10"/>
      <c r="I115" s="83"/>
      <c r="J115" s="10"/>
      <c r="K115" s="83"/>
      <c r="L115" s="85"/>
      <c r="M115" s="83"/>
      <c r="N115" s="10"/>
      <c r="O115" s="83"/>
      <c r="P115" s="10"/>
      <c r="Q115" s="83"/>
      <c r="R115" s="47"/>
      <c r="S115" s="83"/>
      <c r="T115" s="10"/>
      <c r="U115" s="83"/>
      <c r="V115" s="10"/>
      <c r="W115" s="83"/>
      <c r="X115" s="53"/>
      <c r="Y115" s="83"/>
      <c r="Z115" s="47"/>
      <c r="AA115" s="83"/>
      <c r="AB115" s="85"/>
      <c r="AC115" s="83"/>
      <c r="AD115" s="47"/>
      <c r="AE115" s="83"/>
      <c r="AF115" s="47"/>
      <c r="AG115" s="83"/>
      <c r="AH115" s="47"/>
      <c r="AI115" s="83"/>
      <c r="AJ115" s="10"/>
      <c r="AK115" s="83"/>
      <c r="AL115" s="47"/>
      <c r="AM115" s="83"/>
      <c r="AN115" s="83"/>
      <c r="AO115" s="83"/>
      <c r="AP115" s="10"/>
      <c r="AQ115" s="10"/>
      <c r="AR115" s="83"/>
      <c r="AS115" s="84"/>
      <c r="AT115" s="74"/>
      <c r="AU115" s="10"/>
      <c r="AV115" s="33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</row>
    <row r="116" spans="1:257" ht="12" customHeight="1">
      <c r="A116" s="10"/>
      <c r="B116" s="10"/>
      <c r="C116" s="83"/>
      <c r="D116" s="10"/>
      <c r="E116" s="83"/>
      <c r="F116" s="10"/>
      <c r="G116" s="83"/>
      <c r="H116" s="10"/>
      <c r="I116" s="83"/>
      <c r="J116" s="10"/>
      <c r="K116" s="83"/>
      <c r="L116" s="85"/>
      <c r="M116" s="83"/>
      <c r="N116" s="10"/>
      <c r="O116" s="83"/>
      <c r="P116" s="10"/>
      <c r="Q116" s="83"/>
      <c r="R116" s="47"/>
      <c r="S116" s="83"/>
      <c r="T116" s="10"/>
      <c r="U116" s="83"/>
      <c r="V116" s="10"/>
      <c r="W116" s="83"/>
      <c r="X116" s="53"/>
      <c r="Y116" s="83"/>
      <c r="Z116" s="47"/>
      <c r="AA116" s="83"/>
      <c r="AB116" s="85"/>
      <c r="AC116" s="83"/>
      <c r="AD116" s="47"/>
      <c r="AE116" s="83"/>
      <c r="AF116" s="47"/>
      <c r="AG116" s="83"/>
      <c r="AH116" s="47"/>
      <c r="AI116" s="83"/>
      <c r="AJ116" s="10"/>
      <c r="AK116" s="83"/>
      <c r="AL116" s="47"/>
      <c r="AM116" s="83"/>
      <c r="AN116" s="83"/>
      <c r="AO116" s="83"/>
      <c r="AP116" s="10"/>
      <c r="AQ116" s="10"/>
      <c r="AR116" s="83"/>
      <c r="AS116" s="84"/>
      <c r="AT116" s="74"/>
      <c r="AU116" s="10"/>
      <c r="AV116" s="33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</row>
    <row r="117" spans="1:257" ht="12" customHeight="1">
      <c r="A117" s="10"/>
      <c r="B117" s="10"/>
      <c r="C117" s="83"/>
      <c r="D117" s="10"/>
      <c r="E117" s="83"/>
      <c r="F117" s="10"/>
      <c r="G117" s="83"/>
      <c r="H117" s="10"/>
      <c r="I117" s="83"/>
      <c r="J117" s="10"/>
      <c r="K117" s="83"/>
      <c r="L117" s="85"/>
      <c r="M117" s="83"/>
      <c r="N117" s="10"/>
      <c r="O117" s="83"/>
      <c r="P117" s="10"/>
      <c r="Q117" s="83"/>
      <c r="R117" s="47"/>
      <c r="S117" s="83"/>
      <c r="T117" s="10"/>
      <c r="U117" s="83"/>
      <c r="V117" s="10"/>
      <c r="W117" s="83"/>
      <c r="X117" s="53"/>
      <c r="Y117" s="83"/>
      <c r="Z117" s="47"/>
      <c r="AA117" s="83"/>
      <c r="AB117" s="85"/>
      <c r="AC117" s="83"/>
      <c r="AD117" s="47"/>
      <c r="AE117" s="83"/>
      <c r="AF117" s="47"/>
      <c r="AG117" s="83"/>
      <c r="AH117" s="47"/>
      <c r="AI117" s="83"/>
      <c r="AJ117" s="10"/>
      <c r="AK117" s="83"/>
      <c r="AL117" s="47"/>
      <c r="AM117" s="83"/>
      <c r="AN117" s="83"/>
      <c r="AO117" s="83"/>
      <c r="AP117" s="10"/>
      <c r="AQ117" s="10"/>
      <c r="AR117" s="83"/>
      <c r="AS117" s="84"/>
      <c r="AT117" s="74"/>
      <c r="AU117" s="10"/>
      <c r="AV117" s="33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</row>
    <row r="118" spans="1:257" ht="12" customHeight="1">
      <c r="A118" s="10"/>
      <c r="B118" s="10"/>
      <c r="C118" s="83"/>
      <c r="D118" s="10"/>
      <c r="E118" s="83"/>
      <c r="F118" s="10"/>
      <c r="G118" s="83"/>
      <c r="H118" s="10"/>
      <c r="I118" s="83"/>
      <c r="J118" s="10"/>
      <c r="K118" s="83"/>
      <c r="L118" s="85"/>
      <c r="M118" s="83"/>
      <c r="N118" s="10"/>
      <c r="O118" s="83"/>
      <c r="P118" s="10"/>
      <c r="Q118" s="83"/>
      <c r="R118" s="47"/>
      <c r="S118" s="83"/>
      <c r="T118" s="10"/>
      <c r="U118" s="83"/>
      <c r="V118" s="10"/>
      <c r="W118" s="83"/>
      <c r="X118" s="53"/>
      <c r="Y118" s="83"/>
      <c r="Z118" s="47"/>
      <c r="AA118" s="83"/>
      <c r="AB118" s="85"/>
      <c r="AC118" s="83"/>
      <c r="AD118" s="47"/>
      <c r="AE118" s="83"/>
      <c r="AF118" s="47"/>
      <c r="AG118" s="83"/>
      <c r="AH118" s="47"/>
      <c r="AI118" s="83"/>
      <c r="AJ118" s="10"/>
      <c r="AK118" s="83"/>
      <c r="AL118" s="47"/>
      <c r="AM118" s="83"/>
      <c r="AN118" s="83"/>
      <c r="AO118" s="83"/>
      <c r="AP118" s="10"/>
      <c r="AQ118" s="10"/>
      <c r="AR118" s="83"/>
      <c r="AS118" s="84"/>
      <c r="AT118" s="74"/>
      <c r="AU118" s="10"/>
      <c r="AV118" s="33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</row>
    <row r="119" spans="1:257" ht="12" customHeight="1" thickBot="1">
      <c r="A119" s="1" t="s">
        <v>51</v>
      </c>
      <c r="B119" s="2" t="s">
        <v>1</v>
      </c>
      <c r="C119" s="3"/>
      <c r="D119" s="2" t="s">
        <v>2</v>
      </c>
      <c r="E119" s="3"/>
      <c r="F119" s="2" t="s">
        <v>43</v>
      </c>
      <c r="G119" s="3"/>
      <c r="H119" s="2" t="s">
        <v>44</v>
      </c>
      <c r="I119" s="3"/>
      <c r="J119" s="2" t="s">
        <v>5</v>
      </c>
      <c r="K119" s="3"/>
      <c r="L119" s="4" t="s">
        <v>6</v>
      </c>
      <c r="M119" s="3"/>
      <c r="N119" s="5" t="s">
        <v>7</v>
      </c>
      <c r="O119" s="3"/>
      <c r="P119" s="4" t="s">
        <v>8</v>
      </c>
      <c r="Q119" s="3"/>
      <c r="R119" s="2" t="s">
        <v>9</v>
      </c>
      <c r="S119" s="112">
        <f>Birling!C63</f>
        <v>0</v>
      </c>
      <c r="T119" s="4" t="s">
        <v>10</v>
      </c>
      <c r="U119" s="3"/>
      <c r="V119" s="5" t="s">
        <v>11</v>
      </c>
      <c r="W119" s="3"/>
      <c r="X119" s="4" t="s">
        <v>12</v>
      </c>
      <c r="Y119" s="3"/>
      <c r="Z119" s="4" t="s">
        <v>45</v>
      </c>
      <c r="AA119" s="3"/>
      <c r="AB119" s="4" t="s">
        <v>14</v>
      </c>
      <c r="AC119" s="3"/>
      <c r="AD119" s="4" t="s">
        <v>46</v>
      </c>
      <c r="AE119" s="3"/>
      <c r="AF119" s="4" t="s">
        <v>16</v>
      </c>
      <c r="AG119" s="3"/>
      <c r="AH119" s="86" t="s">
        <v>17</v>
      </c>
      <c r="AI119" s="3"/>
      <c r="AJ119" s="172" t="s">
        <v>65</v>
      </c>
      <c r="AK119" s="3"/>
      <c r="AL119" s="225" t="s">
        <v>66</v>
      </c>
      <c r="AM119" s="226"/>
      <c r="AN119" s="6"/>
      <c r="AO119" s="7"/>
      <c r="AP119" s="7"/>
      <c r="AQ119" s="7"/>
      <c r="AR119" s="8"/>
      <c r="AS119" s="7"/>
      <c r="AT119" s="9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</row>
    <row r="120" spans="1:257" ht="12" customHeight="1" thickTop="1" thickBot="1">
      <c r="A120" s="11" t="s">
        <v>18</v>
      </c>
      <c r="B120" s="12" t="s">
        <v>19</v>
      </c>
      <c r="C120" s="69" t="s">
        <v>20</v>
      </c>
      <c r="D120" s="12" t="s">
        <v>19</v>
      </c>
      <c r="E120" s="69" t="s">
        <v>20</v>
      </c>
      <c r="F120" s="12" t="s">
        <v>19</v>
      </c>
      <c r="G120" s="69" t="s">
        <v>20</v>
      </c>
      <c r="H120" s="12" t="s">
        <v>19</v>
      </c>
      <c r="I120" s="69" t="s">
        <v>20</v>
      </c>
      <c r="J120" s="12" t="s">
        <v>19</v>
      </c>
      <c r="K120" s="69" t="s">
        <v>20</v>
      </c>
      <c r="L120" s="15" t="s">
        <v>19</v>
      </c>
      <c r="M120" s="69" t="s">
        <v>20</v>
      </c>
      <c r="N120" s="16" t="s">
        <v>21</v>
      </c>
      <c r="O120" s="69" t="s">
        <v>20</v>
      </c>
      <c r="P120" s="15" t="s">
        <v>19</v>
      </c>
      <c r="Q120" s="69" t="s">
        <v>20</v>
      </c>
      <c r="R120" s="12" t="s">
        <v>19</v>
      </c>
      <c r="S120" s="113">
        <f>Birling!C64</f>
        <v>0</v>
      </c>
      <c r="T120" s="15" t="s">
        <v>19</v>
      </c>
      <c r="U120" s="69" t="s">
        <v>20</v>
      </c>
      <c r="V120" s="16" t="s">
        <v>22</v>
      </c>
      <c r="W120" s="69" t="s">
        <v>20</v>
      </c>
      <c r="X120" s="15" t="s">
        <v>19</v>
      </c>
      <c r="Y120" s="69" t="s">
        <v>20</v>
      </c>
      <c r="Z120" s="15" t="s">
        <v>19</v>
      </c>
      <c r="AA120" s="69" t="s">
        <v>20</v>
      </c>
      <c r="AB120" s="15" t="s">
        <v>19</v>
      </c>
      <c r="AC120" s="69" t="s">
        <v>20</v>
      </c>
      <c r="AD120" s="15" t="s">
        <v>19</v>
      </c>
      <c r="AE120" s="69" t="s">
        <v>20</v>
      </c>
      <c r="AF120" s="15" t="s">
        <v>19</v>
      </c>
      <c r="AG120" s="69" t="s">
        <v>20</v>
      </c>
      <c r="AH120" s="56" t="s">
        <v>19</v>
      </c>
      <c r="AI120" s="69" t="s">
        <v>20</v>
      </c>
      <c r="AJ120" s="15" t="s">
        <v>19</v>
      </c>
      <c r="AK120" s="69" t="s">
        <v>20</v>
      </c>
      <c r="AL120" s="175" t="s">
        <v>19</v>
      </c>
      <c r="AM120" s="224" t="s">
        <v>20</v>
      </c>
      <c r="AN120" s="7"/>
      <c r="AO120" s="17" t="s">
        <v>23</v>
      </c>
      <c r="AP120" s="18" t="s">
        <v>24</v>
      </c>
      <c r="AQ120" s="19" t="s">
        <v>25</v>
      </c>
      <c r="AR120" s="20" t="s">
        <v>26</v>
      </c>
      <c r="AS120" s="21" t="s">
        <v>27</v>
      </c>
      <c r="AT120" s="22" t="s">
        <v>20</v>
      </c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  <c r="GQ120" s="10"/>
      <c r="GR120" s="10"/>
      <c r="GS120" s="10"/>
      <c r="GT120" s="10"/>
      <c r="GU120" s="10"/>
      <c r="GV120" s="10"/>
      <c r="GW120" s="10"/>
      <c r="GX120" s="10"/>
      <c r="GY120" s="10"/>
      <c r="GZ120" s="10"/>
      <c r="HA120" s="10"/>
      <c r="HB120" s="10"/>
      <c r="HC120" s="10"/>
      <c r="HD120" s="10"/>
      <c r="HE120" s="10"/>
      <c r="HF120" s="10"/>
      <c r="HG120" s="10"/>
      <c r="HH120" s="10"/>
      <c r="HI120" s="10"/>
      <c r="HJ120" s="10"/>
      <c r="HK120" s="10"/>
      <c r="HL120" s="10"/>
      <c r="HM120" s="10"/>
      <c r="HN120" s="10"/>
      <c r="HO120" s="10"/>
      <c r="HP120" s="10"/>
      <c r="HQ120" s="10"/>
      <c r="HR120" s="10"/>
      <c r="HS120" s="10"/>
      <c r="HT120" s="10"/>
      <c r="HU120" s="10"/>
      <c r="HV120" s="10"/>
      <c r="HW120" s="10"/>
      <c r="HX120" s="10"/>
      <c r="HY120" s="10"/>
      <c r="HZ120" s="10"/>
      <c r="IA120" s="10"/>
      <c r="IB120" s="10"/>
      <c r="IC120" s="10"/>
      <c r="ID120" s="10"/>
      <c r="IE120" s="10"/>
      <c r="IF120" s="10"/>
      <c r="IG120" s="10"/>
      <c r="IH120" s="10"/>
      <c r="II120" s="10"/>
      <c r="IJ120" s="10"/>
      <c r="IK120" s="10"/>
      <c r="IL120" s="10"/>
      <c r="IM120" s="10"/>
      <c r="IN120" s="10"/>
      <c r="IO120" s="10"/>
      <c r="IP120" s="10"/>
      <c r="IQ120" s="10"/>
      <c r="IR120" s="10"/>
      <c r="IS120" s="10"/>
      <c r="IT120" s="10"/>
      <c r="IU120" s="10"/>
    </row>
    <row r="121" spans="1:257" ht="12" customHeight="1" thickTop="1">
      <c r="A121" s="23" t="s">
        <v>35</v>
      </c>
      <c r="B121" s="45">
        <v>4.6759259259259263E-3</v>
      </c>
      <c r="C121" s="46">
        <f>IF(B121="DNF","DNF",IF(B121&gt;0,B$137/B121*100,""))</f>
        <v>48.353960396039597</v>
      </c>
      <c r="D121" s="45">
        <v>3.3886574074074079E-3</v>
      </c>
      <c r="E121" s="46">
        <f t="shared" ref="E121:E131" si="94">IF(D121="DNF","DNF",IF(D121&gt;0,D$137/D121*100,""))</f>
        <v>60.857982102602627</v>
      </c>
      <c r="F121" s="45">
        <v>2.0626157407407407E-3</v>
      </c>
      <c r="G121" s="46">
        <f t="shared" ref="G121:G131" si="95">IF(F121="DNF","DNF",IF(F121&gt;0,F$137/F121*100,""))</f>
        <v>100</v>
      </c>
      <c r="H121" s="26">
        <v>1.7822916666666666E-3</v>
      </c>
      <c r="I121" s="46">
        <f t="shared" ref="I121:I131" si="96">IF(H121="DNF","DNF",IF(H121&gt;0,H$137/H121*100,""))</f>
        <v>73.829469446067918</v>
      </c>
      <c r="J121" s="26">
        <v>1.1157407407407407E-3</v>
      </c>
      <c r="K121" s="46">
        <f t="shared" ref="K121:K131" si="97">IF(J121="DNF","DNF",IF(J121&gt;0,J$137/J121*100,""))</f>
        <v>72.064315352697093</v>
      </c>
      <c r="L121" s="45">
        <v>7.8119791666666667E-3</v>
      </c>
      <c r="M121" s="46">
        <f t="shared" ref="M121:M131" si="98">IF(L121="DNF","DNF",IF(L121&gt;0,L$137/L121*100,""))</f>
        <v>75.287982161773755</v>
      </c>
      <c r="N121" s="48">
        <v>19</v>
      </c>
      <c r="O121" s="46">
        <f t="shared" ref="O121:O131" si="99">IF(N121="DNF","DNF",IF(N121&lt;&gt;"",N121/N$137*100,""))</f>
        <v>76</v>
      </c>
      <c r="P121" s="26">
        <v>1.8321759259259257E-4</v>
      </c>
      <c r="Q121" s="46">
        <f t="shared" ref="Q121:Q131" si="100">IF(P121="DNF","DNF",IF(P121&gt;0,P$137/P121*100,""))</f>
        <v>87.744788376500324</v>
      </c>
      <c r="R121" s="49">
        <f>Birling!B65</f>
        <v>13.91</v>
      </c>
      <c r="S121" s="46">
        <f>Birling!C65</f>
        <v>6.2352216058721357</v>
      </c>
      <c r="T121" s="26">
        <v>1.1650462962962962E-3</v>
      </c>
      <c r="U121" s="46">
        <f t="shared" ref="U121:U131" si="101">IF(T121="DNF","DNF",IF(T121&gt;0,T$137/T121*100,""))</f>
        <v>100</v>
      </c>
      <c r="V121" s="48">
        <v>3</v>
      </c>
      <c r="W121" s="46">
        <f t="shared" ref="W121:W131" si="102">IF(V121="DNF","DNF",IF(V121&lt;&gt;"",V121/V$137*100,""))</f>
        <v>15</v>
      </c>
      <c r="X121" s="26">
        <v>1.798263888888889E-3</v>
      </c>
      <c r="Y121" s="46">
        <f t="shared" ref="Y121:Y131" si="103">IF(X121="DNF","DNF",IF(X121&gt;0,X$137/X121*100,""))</f>
        <v>29.207697753749116</v>
      </c>
      <c r="Z121" s="45">
        <v>7.6944444444444456E-4</v>
      </c>
      <c r="AA121" s="46">
        <f t="shared" ref="AA121:AA131" si="104">IF(Z121="DNF","DNF",IF(Z121&gt;0,Z$137/Z121*100,""))</f>
        <v>100</v>
      </c>
      <c r="AB121" s="45">
        <v>7.6608796296296288E-4</v>
      </c>
      <c r="AC121" s="46">
        <f t="shared" ref="AC121:AC131" si="105">IF(AB121="DNF","DNF",IF(AB121&gt;0,AB$137/AB121*100,""))</f>
        <v>99.984891977640117</v>
      </c>
      <c r="AD121" s="26">
        <v>1.1306712962962961E-3</v>
      </c>
      <c r="AE121" s="46">
        <f t="shared" ref="AE121:AE131" si="106">IF(AD121="DNF","DNF",IF(AD121&gt;0,AD$137/AD121*100,""))</f>
        <v>93.776230934589023</v>
      </c>
      <c r="AF121" s="45">
        <v>1.3546296296296299E-3</v>
      </c>
      <c r="AG121" s="46">
        <f t="shared" ref="AG121:AG131" si="107">IF(AF121="DNF","DNF",IF(AF121&gt;0,AF$137/AF121*100,""))</f>
        <v>75.649350649350623</v>
      </c>
      <c r="AH121" s="26">
        <v>2.7473379629629631E-3</v>
      </c>
      <c r="AI121" s="46">
        <f t="shared" ref="AI121:AI131" si="108">IF(AH121="DNF","DNF",IF(AH121&gt;0,AH$137/AH121*100,""))</f>
        <v>63.158781648902561</v>
      </c>
      <c r="AJ121" s="45">
        <v>8.5763888888888899E-5</v>
      </c>
      <c r="AK121" s="46">
        <f t="shared" ref="AK121:AK131" si="109">IF(AJ121="DNF","DNF",IF(AJ121&gt;0,AJ$137/AJ121*100,""))</f>
        <v>71.794871794871796</v>
      </c>
      <c r="AL121" s="206">
        <v>7.2557870370370365E-4</v>
      </c>
      <c r="AM121" s="183">
        <f>IF(AL121="DNF","DNF",IF(AL121&gt;0,AL$137/AL121*100,""))</f>
        <v>62.689424150582219</v>
      </c>
      <c r="AN121" s="10"/>
      <c r="AO121" s="29" t="str">
        <f>A121</f>
        <v>Dartmouth A</v>
      </c>
      <c r="AP121" s="30">
        <f>SUM(C121,E121,G121,I121,K121,AI121,O121,Q121,U121,Y121,S121,W121,AC121,AG121,AK121,AA121,AE121,M121,AM121)</f>
        <v>1311.634968351239</v>
      </c>
      <c r="AQ121" s="31">
        <f t="shared" ref="AQ121:AQ129" si="110">RANK(AP121,$AP$121:$AP$133)</f>
        <v>6</v>
      </c>
      <c r="AR121" s="74">
        <v>1</v>
      </c>
      <c r="AS121" s="10" t="str">
        <f t="shared" ref="AS121:AS129" si="111">INDEX($AO$121:$AO$130,MATCH(AR121,$AQ$121:$AQ$130,0))</f>
        <v>Paul Smiths</v>
      </c>
      <c r="AT121" s="33">
        <f t="shared" ref="AT121:AT129" si="112">INDEX($AP$121:$AP$131,MATCH(AS121,$AO$121:$AO$131,0))</f>
        <v>1566.0716687394713</v>
      </c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  <c r="GP121" s="10"/>
      <c r="GQ121" s="10"/>
      <c r="GR121" s="10"/>
      <c r="GS121" s="10"/>
      <c r="GT121" s="10"/>
      <c r="GU121" s="10"/>
      <c r="GV121" s="10"/>
      <c r="GW121" s="10"/>
      <c r="GX121" s="10"/>
      <c r="GY121" s="10"/>
      <c r="GZ121" s="10"/>
      <c r="HA121" s="10"/>
      <c r="HB121" s="10"/>
      <c r="HC121" s="10"/>
      <c r="HD121" s="10"/>
      <c r="HE121" s="10"/>
      <c r="HF121" s="10"/>
      <c r="HG121" s="10"/>
      <c r="HH121" s="10"/>
      <c r="HI121" s="10"/>
      <c r="HJ121" s="10"/>
      <c r="HK121" s="10"/>
      <c r="HL121" s="10"/>
      <c r="HM121" s="10"/>
      <c r="HN121" s="10"/>
      <c r="HO121" s="10"/>
      <c r="HP121" s="10"/>
      <c r="HQ121" s="10"/>
      <c r="HR121" s="10"/>
      <c r="HS121" s="10"/>
      <c r="HT121" s="10"/>
      <c r="HU121" s="10"/>
      <c r="HV121" s="10"/>
      <c r="HW121" s="10"/>
      <c r="HX121" s="10"/>
      <c r="HY121" s="10"/>
      <c r="HZ121" s="10"/>
      <c r="IA121" s="10"/>
      <c r="IB121" s="10"/>
      <c r="IC121" s="10"/>
      <c r="ID121" s="10"/>
      <c r="IE121" s="10"/>
      <c r="IF121" s="10"/>
      <c r="IG121" s="10"/>
      <c r="IH121" s="10"/>
      <c r="II121" s="10"/>
      <c r="IJ121" s="10"/>
      <c r="IK121" s="10"/>
      <c r="IL121" s="10"/>
      <c r="IM121" s="10"/>
      <c r="IN121" s="10"/>
      <c r="IO121" s="10"/>
      <c r="IP121" s="10"/>
      <c r="IQ121" s="10"/>
      <c r="IR121" s="10"/>
      <c r="IS121" s="10"/>
      <c r="IT121" s="10"/>
      <c r="IU121" s="10"/>
    </row>
    <row r="122" spans="1:257" ht="12" customHeight="1">
      <c r="A122" s="34" t="s">
        <v>61</v>
      </c>
      <c r="B122" s="35">
        <v>3.0638888888888886E-3</v>
      </c>
      <c r="C122" s="36">
        <f>IF(B122="DNF","DNF",IF(B122&gt;0,B$137/B122*100,""))</f>
        <v>73.794953158053801</v>
      </c>
      <c r="D122" s="35">
        <v>2.5569444444444446E-3</v>
      </c>
      <c r="E122" s="36">
        <f t="shared" si="94"/>
        <v>80.653630273402129</v>
      </c>
      <c r="F122" s="35">
        <v>2.5293981481481482E-3</v>
      </c>
      <c r="G122" s="36">
        <f t="shared" si="95"/>
        <v>81.54571245538574</v>
      </c>
      <c r="H122" s="37">
        <v>2.0972222222222221E-3</v>
      </c>
      <c r="I122" s="36">
        <f>IF(H122="DNF","DNF",IF(H122&gt;0,H$137/H122*100,""))</f>
        <v>62.742825607064013</v>
      </c>
      <c r="J122" s="37">
        <v>1.3009837962962964E-3</v>
      </c>
      <c r="K122" s="36">
        <f t="shared" si="97"/>
        <v>61.803300564921479</v>
      </c>
      <c r="L122" s="35">
        <v>8.8218171296296308E-3</v>
      </c>
      <c r="M122" s="36">
        <f t="shared" si="98"/>
        <v>66.669727960325616</v>
      </c>
      <c r="N122" s="39">
        <v>17</v>
      </c>
      <c r="O122" s="36">
        <f t="shared" si="99"/>
        <v>68</v>
      </c>
      <c r="P122" s="37">
        <v>4.0590277777777782E-4</v>
      </c>
      <c r="Q122" s="36">
        <f t="shared" si="100"/>
        <v>39.606501283147985</v>
      </c>
      <c r="R122" s="40">
        <f>Birling!B66</f>
        <v>13</v>
      </c>
      <c r="S122" s="36">
        <f>Birling!C66</f>
        <v>5.8273099120300333</v>
      </c>
      <c r="T122" s="37">
        <v>4.3445601851851857E-3</v>
      </c>
      <c r="U122" s="36">
        <f t="shared" si="101"/>
        <v>26.81620800809867</v>
      </c>
      <c r="V122" s="39">
        <v>4</v>
      </c>
      <c r="W122" s="36">
        <f t="shared" si="102"/>
        <v>20</v>
      </c>
      <c r="X122" s="37">
        <v>1.2369212962962963E-3</v>
      </c>
      <c r="Y122" s="36">
        <f t="shared" si="103"/>
        <v>42.462805277439884</v>
      </c>
      <c r="Z122" s="35">
        <v>1.2627314814814814E-3</v>
      </c>
      <c r="AA122" s="36">
        <f t="shared" si="104"/>
        <v>60.934922089825861</v>
      </c>
      <c r="AB122" s="35">
        <v>1.058101851851852E-3</v>
      </c>
      <c r="AC122" s="36">
        <f t="shared" si="105"/>
        <v>72.391161671406678</v>
      </c>
      <c r="AD122" s="37">
        <v>1.7738425925925925E-3</v>
      </c>
      <c r="AE122" s="36">
        <f t="shared" si="106"/>
        <v>59.774239853843149</v>
      </c>
      <c r="AF122" s="35">
        <v>3.8804398148148144E-3</v>
      </c>
      <c r="AG122" s="36">
        <f t="shared" si="107"/>
        <v>26.408566230202524</v>
      </c>
      <c r="AH122" s="35">
        <v>2.4828703703703705E-3</v>
      </c>
      <c r="AI122" s="36">
        <f t="shared" si="108"/>
        <v>69.886257691590529</v>
      </c>
      <c r="AJ122" s="35">
        <v>8.2291666666666667E-4</v>
      </c>
      <c r="AK122" s="36">
        <f t="shared" si="109"/>
        <v>7.4824191279887486</v>
      </c>
      <c r="AL122" s="207">
        <v>1.5706018518518519E-3</v>
      </c>
      <c r="AM122" s="218">
        <f>IF(AL122="DNF","DNF",IF(AL122&gt;0,AL$137/AL122*100,""))</f>
        <v>28.960943257184962</v>
      </c>
      <c r="AN122" s="7"/>
      <c r="AO122" s="41" t="str">
        <f>A122</f>
        <v>UConn</v>
      </c>
      <c r="AP122" s="30">
        <f t="shared" ref="AP122:AP128" si="113">SUM(C122,E122,G122,I122,K122,AI122,O122,Q122,U122,Y122,S122,W122,AC122,AG122,AK122,AA122,AE122,M122,AM122)</f>
        <v>955.76148442191175</v>
      </c>
      <c r="AQ122" s="57">
        <f t="shared" si="110"/>
        <v>8</v>
      </c>
      <c r="AR122" s="8">
        <v>2</v>
      </c>
      <c r="AS122" s="7" t="str">
        <f t="shared" si="111"/>
        <v>Cobleskill</v>
      </c>
      <c r="AT122" s="9">
        <f t="shared" si="112"/>
        <v>1551.2299842280561</v>
      </c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0"/>
      <c r="GZ122" s="10"/>
      <c r="HA122" s="10"/>
      <c r="HB122" s="10"/>
      <c r="HC122" s="10"/>
      <c r="HD122" s="10"/>
      <c r="HE122" s="10"/>
      <c r="HF122" s="10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/>
      <c r="HQ122" s="10"/>
      <c r="HR122" s="10"/>
      <c r="HS122" s="10"/>
      <c r="HT122" s="10"/>
      <c r="HU122" s="10"/>
      <c r="HV122" s="10"/>
      <c r="HW122" s="10"/>
      <c r="HX122" s="10"/>
      <c r="HY122" s="10"/>
      <c r="HZ122" s="10"/>
      <c r="IA122" s="10"/>
      <c r="IB122" s="10"/>
      <c r="IC122" s="10"/>
      <c r="ID122" s="10"/>
      <c r="IE122" s="10"/>
      <c r="IF122" s="10"/>
      <c r="IG122" s="10"/>
      <c r="IH122" s="10"/>
      <c r="II122" s="10"/>
      <c r="IJ122" s="10"/>
      <c r="IK122" s="10"/>
      <c r="IL122" s="10"/>
      <c r="IM122" s="10"/>
      <c r="IN122" s="10"/>
      <c r="IO122" s="10"/>
      <c r="IP122" s="10"/>
      <c r="IQ122" s="10"/>
      <c r="IR122" s="10"/>
      <c r="IS122" s="10"/>
      <c r="IT122" s="10"/>
      <c r="IU122" s="10"/>
    </row>
    <row r="123" spans="1:257" ht="12" customHeight="1">
      <c r="A123" s="23" t="s">
        <v>59</v>
      </c>
      <c r="B123" s="45">
        <v>2.8603009259259259E-3</v>
      </c>
      <c r="C123" s="46">
        <f t="shared" ref="C123:C131" si="114">IF(B123="DNF","DNF",IF(B123&gt;0,B$137/B123*100,""))</f>
        <v>79.047464897017761</v>
      </c>
      <c r="D123" s="45">
        <v>2.5253472222222222E-3</v>
      </c>
      <c r="E123" s="46">
        <f t="shared" si="94"/>
        <v>81.662770979421595</v>
      </c>
      <c r="F123" s="45">
        <v>2.6374999999999997E-3</v>
      </c>
      <c r="G123" s="46">
        <f t="shared" si="95"/>
        <v>78.203440407231881</v>
      </c>
      <c r="H123" s="26">
        <v>1.7937500000000002E-3</v>
      </c>
      <c r="I123" s="46">
        <f t="shared" si="96"/>
        <v>73.357852626145288</v>
      </c>
      <c r="J123" s="26">
        <v>1.7049189814814817E-3</v>
      </c>
      <c r="K123" s="46">
        <f t="shared" si="97"/>
        <v>47.16065306676623</v>
      </c>
      <c r="L123" s="45">
        <v>7.6010995370370373E-3</v>
      </c>
      <c r="M123" s="46">
        <f t="shared" si="98"/>
        <v>77.37671968145446</v>
      </c>
      <c r="N123" s="48">
        <v>5</v>
      </c>
      <c r="O123" s="46">
        <f t="shared" si="99"/>
        <v>20</v>
      </c>
      <c r="P123" s="26">
        <v>2.459490740740741E-4</v>
      </c>
      <c r="Q123" s="46">
        <f t="shared" si="100"/>
        <v>65.364705882352936</v>
      </c>
      <c r="R123" s="49">
        <f>Birling!B67</f>
        <v>6.5</v>
      </c>
      <c r="S123" s="46">
        <f>Birling!C67</f>
        <v>2.9136549560150167</v>
      </c>
      <c r="T123" s="26">
        <v>2.3533564814814814E-3</v>
      </c>
      <c r="U123" s="46">
        <f t="shared" si="101"/>
        <v>49.505729602124617</v>
      </c>
      <c r="V123" s="48">
        <v>11</v>
      </c>
      <c r="W123" s="46">
        <f t="shared" si="102"/>
        <v>55.000000000000007</v>
      </c>
      <c r="X123" s="26">
        <v>6.6171296296296291E-3</v>
      </c>
      <c r="Y123" s="46">
        <f t="shared" si="103"/>
        <v>7.9374518995312409</v>
      </c>
      <c r="Z123" s="45">
        <v>1.2326388888888888E-3</v>
      </c>
      <c r="AA123" s="46">
        <f t="shared" si="104"/>
        <v>62.422535211267615</v>
      </c>
      <c r="AB123" s="45">
        <v>1.2236111111111111E-3</v>
      </c>
      <c r="AC123" s="46">
        <f t="shared" si="105"/>
        <v>62.599318955732116</v>
      </c>
      <c r="AD123" s="26">
        <v>1.6185185185185185E-3</v>
      </c>
      <c r="AE123" s="46">
        <f t="shared" si="106"/>
        <v>65.510583524027453</v>
      </c>
      <c r="AF123" s="45">
        <v>4.8633101851851849E-3</v>
      </c>
      <c r="AG123" s="46">
        <f t="shared" si="107"/>
        <v>21.071420071872247</v>
      </c>
      <c r="AH123" s="26">
        <v>1.9256944444444445E-3</v>
      </c>
      <c r="AI123" s="46">
        <f t="shared" si="108"/>
        <v>90.106984012501499</v>
      </c>
      <c r="AJ123" s="45">
        <v>8.935185185185184E-5</v>
      </c>
      <c r="AK123" s="46">
        <f t="shared" si="109"/>
        <v>68.911917098445613</v>
      </c>
      <c r="AL123" s="208">
        <v>1.086574074074074E-3</v>
      </c>
      <c r="AM123" s="183">
        <f t="shared" ref="AM123:AM136" si="115">IF(AL123="DNF","DNF",IF(AL123&gt;0,AL$137/AL123*100,""))</f>
        <v>41.861951427354057</v>
      </c>
      <c r="AN123" s="10"/>
      <c r="AO123" s="29" t="str">
        <f>A123</f>
        <v>Ranger</v>
      </c>
      <c r="AP123" s="30">
        <f t="shared" si="113"/>
        <v>1050.0151542992614</v>
      </c>
      <c r="AQ123" s="31">
        <f t="shared" si="110"/>
        <v>7</v>
      </c>
      <c r="AR123" s="74">
        <v>3</v>
      </c>
      <c r="AS123" s="10" t="str">
        <f t="shared" si="111"/>
        <v>Alfred</v>
      </c>
      <c r="AT123" s="33">
        <f t="shared" si="112"/>
        <v>1455.5945985064322</v>
      </c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/>
      <c r="HY123" s="10"/>
      <c r="HZ123" s="10"/>
      <c r="IA123" s="10"/>
      <c r="IB123" s="10"/>
      <c r="IC123" s="10"/>
      <c r="ID123" s="10"/>
      <c r="IE123" s="10"/>
      <c r="IF123" s="10"/>
      <c r="IG123" s="10"/>
      <c r="IH123" s="10"/>
      <c r="II123" s="10"/>
      <c r="IJ123" s="10"/>
      <c r="IK123" s="10"/>
      <c r="IL123" s="10"/>
      <c r="IM123" s="10"/>
      <c r="IN123" s="10"/>
      <c r="IO123" s="10"/>
      <c r="IP123" s="10"/>
      <c r="IQ123" s="10"/>
      <c r="IR123" s="10"/>
      <c r="IS123" s="10"/>
      <c r="IT123" s="10"/>
      <c r="IU123" s="10"/>
    </row>
    <row r="124" spans="1:257" ht="12" customHeight="1">
      <c r="A124" s="34" t="s">
        <v>62</v>
      </c>
      <c r="B124" s="35">
        <v>2.9908564814814815E-3</v>
      </c>
      <c r="C124" s="36">
        <f t="shared" si="114"/>
        <v>75.596919623853566</v>
      </c>
      <c r="D124" s="35">
        <v>2.0622685185185184E-3</v>
      </c>
      <c r="E124" s="36">
        <f t="shared" si="94"/>
        <v>100</v>
      </c>
      <c r="F124" s="35">
        <v>3.5622685185185189E-3</v>
      </c>
      <c r="G124" s="36">
        <f t="shared" si="95"/>
        <v>57.901748001819477</v>
      </c>
      <c r="H124" s="37">
        <v>1.3918981481481482E-3</v>
      </c>
      <c r="I124" s="36">
        <f t="shared" si="96"/>
        <v>94.53683685348409</v>
      </c>
      <c r="J124" s="37">
        <v>8.2031249999999997E-4</v>
      </c>
      <c r="K124" s="36">
        <f t="shared" si="97"/>
        <v>98.017636684303355</v>
      </c>
      <c r="L124" s="35">
        <v>6.7643518518518513E-3</v>
      </c>
      <c r="M124" s="36">
        <f t="shared" si="98"/>
        <v>86.948189720073927</v>
      </c>
      <c r="N124" s="39">
        <v>13</v>
      </c>
      <c r="O124" s="36">
        <f t="shared" si="99"/>
        <v>52</v>
      </c>
      <c r="P124" s="37">
        <v>2.5914351851851852E-4</v>
      </c>
      <c r="Q124" s="36">
        <f t="shared" si="100"/>
        <v>62.036623492630639</v>
      </c>
      <c r="R124" s="40">
        <f>Birling!B68</f>
        <v>178.47</v>
      </c>
      <c r="S124" s="36">
        <f>Birling!C68</f>
        <v>80</v>
      </c>
      <c r="T124" s="37">
        <v>2.2053240740740744E-3</v>
      </c>
      <c r="U124" s="36">
        <f t="shared" si="101"/>
        <v>52.828802351212332</v>
      </c>
      <c r="V124" s="39">
        <v>19</v>
      </c>
      <c r="W124" s="36">
        <f t="shared" si="102"/>
        <v>95</v>
      </c>
      <c r="X124" s="37">
        <v>1.3887731481481483E-3</v>
      </c>
      <c r="Y124" s="36">
        <f t="shared" si="103"/>
        <v>37.819818318193185</v>
      </c>
      <c r="Z124" s="35">
        <v>9.4340277777777782E-4</v>
      </c>
      <c r="AA124" s="36">
        <f t="shared" si="104"/>
        <v>81.560544718439459</v>
      </c>
      <c r="AB124" s="35">
        <v>7.6597222222222214E-4</v>
      </c>
      <c r="AC124" s="36">
        <f t="shared" si="105"/>
        <v>100</v>
      </c>
      <c r="AD124" s="37">
        <v>1.1454861111111112E-3</v>
      </c>
      <c r="AE124" s="36">
        <f t="shared" si="106"/>
        <v>92.563403051429717</v>
      </c>
      <c r="AF124" s="35">
        <v>1.0689814814814815E-3</v>
      </c>
      <c r="AG124" s="36">
        <f t="shared" si="107"/>
        <v>95.864010394109982</v>
      </c>
      <c r="AH124" s="35">
        <v>2.5053240740740743E-3</v>
      </c>
      <c r="AI124" s="36">
        <f t="shared" si="108"/>
        <v>69.259909452092757</v>
      </c>
      <c r="AJ124" s="35">
        <v>1.3645833333333332E-4</v>
      </c>
      <c r="AK124" s="36">
        <f t="shared" si="109"/>
        <v>45.122985581000854</v>
      </c>
      <c r="AL124" s="207">
        <v>5.7916666666666663E-4</v>
      </c>
      <c r="AM124" s="218">
        <f t="shared" si="115"/>
        <v>78.537170263788951</v>
      </c>
      <c r="AN124" s="7"/>
      <c r="AO124" s="41" t="str">
        <f>A124</f>
        <v>Alfred</v>
      </c>
      <c r="AP124" s="30">
        <f t="shared" si="113"/>
        <v>1455.5945985064322</v>
      </c>
      <c r="AQ124" s="57">
        <f t="shared" si="110"/>
        <v>3</v>
      </c>
      <c r="AR124" s="8">
        <v>4</v>
      </c>
      <c r="AS124" s="7" t="str">
        <f t="shared" si="111"/>
        <v>UVM</v>
      </c>
      <c r="AT124" s="9">
        <f t="shared" si="112"/>
        <v>1435.1812784932279</v>
      </c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0"/>
      <c r="GZ124" s="10"/>
      <c r="HA124" s="10"/>
      <c r="HB124" s="10"/>
      <c r="HC124" s="10"/>
      <c r="HD124" s="10"/>
      <c r="HE124" s="10"/>
      <c r="HF124" s="10"/>
      <c r="HG124" s="10"/>
      <c r="HH124" s="10"/>
      <c r="HI124" s="10"/>
      <c r="HJ124" s="10"/>
      <c r="HK124" s="10"/>
      <c r="HL124" s="10"/>
      <c r="HM124" s="10"/>
      <c r="HN124" s="10"/>
      <c r="HO124" s="10"/>
      <c r="HP124" s="10"/>
      <c r="HQ124" s="10"/>
      <c r="HR124" s="10"/>
      <c r="HS124" s="10"/>
      <c r="HT124" s="10"/>
      <c r="HU124" s="10"/>
      <c r="HV124" s="10"/>
      <c r="HW124" s="10"/>
      <c r="HX124" s="10"/>
      <c r="HY124" s="10"/>
      <c r="HZ124" s="10"/>
      <c r="IA124" s="10"/>
      <c r="IB124" s="10"/>
      <c r="IC124" s="10"/>
      <c r="ID124" s="10"/>
      <c r="IE124" s="10"/>
      <c r="IF124" s="10"/>
      <c r="IG124" s="10"/>
      <c r="IH124" s="10"/>
      <c r="II124" s="10"/>
      <c r="IJ124" s="10"/>
      <c r="IK124" s="10"/>
      <c r="IL124" s="10"/>
      <c r="IM124" s="10"/>
      <c r="IN124" s="10"/>
      <c r="IO124" s="10"/>
      <c r="IP124" s="10"/>
      <c r="IQ124" s="10"/>
      <c r="IR124" s="10"/>
      <c r="IS124" s="10"/>
      <c r="IT124" s="10"/>
      <c r="IU124" s="10"/>
    </row>
    <row r="125" spans="1:257" ht="12" customHeight="1">
      <c r="A125" s="23" t="s">
        <v>48</v>
      </c>
      <c r="B125" s="45">
        <v>2.299074074074074E-3</v>
      </c>
      <c r="C125" s="46">
        <f t="shared" si="114"/>
        <v>98.343737414418044</v>
      </c>
      <c r="D125" s="45">
        <v>2.1017361111111111E-3</v>
      </c>
      <c r="E125" s="46">
        <f t="shared" si="94"/>
        <v>98.122143289828728</v>
      </c>
      <c r="F125" s="45">
        <v>2.520138888888889E-3</v>
      </c>
      <c r="G125" s="46">
        <f t="shared" si="95"/>
        <v>81.845320106549096</v>
      </c>
      <c r="H125" s="26">
        <v>1.316898148148148E-3</v>
      </c>
      <c r="I125" s="46">
        <f t="shared" si="96"/>
        <v>99.920899982422213</v>
      </c>
      <c r="J125" s="26">
        <v>8.2210648148148139E-4</v>
      </c>
      <c r="K125" s="46">
        <f t="shared" si="97"/>
        <v>97.803744896522602</v>
      </c>
      <c r="L125" s="45">
        <v>5.8814814814814815E-3</v>
      </c>
      <c r="M125" s="46">
        <f t="shared" si="98"/>
        <v>100</v>
      </c>
      <c r="N125" s="48">
        <v>4</v>
      </c>
      <c r="O125" s="46">
        <f t="shared" si="99"/>
        <v>16</v>
      </c>
      <c r="P125" s="26">
        <v>1.8090277777777777E-4</v>
      </c>
      <c r="Q125" s="46">
        <f t="shared" si="100"/>
        <v>88.867562380038393</v>
      </c>
      <c r="R125" s="49">
        <f>Birling!B69</f>
        <v>15.69</v>
      </c>
      <c r="S125" s="46">
        <f>Birling!C69</f>
        <v>85</v>
      </c>
      <c r="T125" s="26">
        <v>2.0500000000000002E-3</v>
      </c>
      <c r="U125" s="46">
        <f t="shared" si="101"/>
        <v>56.831526648599805</v>
      </c>
      <c r="V125" s="48">
        <v>14</v>
      </c>
      <c r="W125" s="46">
        <f t="shared" si="102"/>
        <v>70</v>
      </c>
      <c r="X125" s="26">
        <v>8.3240740740740725E-4</v>
      </c>
      <c r="Y125" s="46">
        <f t="shared" si="103"/>
        <v>63.09788654060069</v>
      </c>
      <c r="Z125" s="45">
        <v>8.6203703703703703E-4</v>
      </c>
      <c r="AA125" s="46">
        <f t="shared" si="104"/>
        <v>89.258861439312582</v>
      </c>
      <c r="AB125" s="45">
        <v>8.4270833333333333E-4</v>
      </c>
      <c r="AC125" s="46">
        <f t="shared" si="105"/>
        <v>90.894107952204365</v>
      </c>
      <c r="AD125" s="26">
        <v>1.1321759259259258E-3</v>
      </c>
      <c r="AE125" s="46">
        <f t="shared" si="106"/>
        <v>93.651604988754869</v>
      </c>
      <c r="AF125" s="45">
        <v>1.3269675925925925E-3</v>
      </c>
      <c r="AG125" s="46">
        <f t="shared" si="107"/>
        <v>77.226341037941566</v>
      </c>
      <c r="AH125" s="45">
        <v>2.2560185185185187E-3</v>
      </c>
      <c r="AI125" s="46">
        <f t="shared" si="108"/>
        <v>76.913605581777134</v>
      </c>
      <c r="AJ125" s="45">
        <v>8.6111111111111119E-5</v>
      </c>
      <c r="AK125" s="46">
        <f t="shared" si="109"/>
        <v>71.505376344086031</v>
      </c>
      <c r="AL125" s="208">
        <v>4.7407407407407402E-4</v>
      </c>
      <c r="AM125" s="183">
        <f t="shared" si="115"/>
        <v>95.947265624999986</v>
      </c>
      <c r="AN125" s="10"/>
      <c r="AO125" s="29" t="str">
        <f>A125</f>
        <v>Cobleskill</v>
      </c>
      <c r="AP125" s="30">
        <f t="shared" si="113"/>
        <v>1551.2299842280561</v>
      </c>
      <c r="AQ125" s="31">
        <f t="shared" si="110"/>
        <v>2</v>
      </c>
      <c r="AR125" s="74">
        <v>5</v>
      </c>
      <c r="AS125" s="10" t="str">
        <f t="shared" si="111"/>
        <v>Morrisville</v>
      </c>
      <c r="AT125" s="33">
        <f t="shared" si="112"/>
        <v>1356.732197396623</v>
      </c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  <c r="GP125" s="10"/>
      <c r="GQ125" s="10"/>
      <c r="GR125" s="10"/>
      <c r="GS125" s="10"/>
      <c r="GT125" s="10"/>
      <c r="GU125" s="10"/>
      <c r="GV125" s="10"/>
      <c r="GW125" s="10"/>
      <c r="GX125" s="10"/>
      <c r="GY125" s="10"/>
      <c r="GZ125" s="10"/>
      <c r="HA125" s="10"/>
      <c r="HB125" s="10"/>
      <c r="HC125" s="10"/>
      <c r="HD125" s="10"/>
      <c r="HE125" s="10"/>
      <c r="HF125" s="10"/>
      <c r="HG125" s="10"/>
      <c r="HH125" s="10"/>
      <c r="HI125" s="10"/>
      <c r="HJ125" s="10"/>
      <c r="HK125" s="10"/>
      <c r="HL125" s="10"/>
      <c r="HM125" s="10"/>
      <c r="HN125" s="10"/>
      <c r="HO125" s="10"/>
      <c r="HP125" s="10"/>
      <c r="HQ125" s="10"/>
      <c r="HR125" s="10"/>
      <c r="HS125" s="10"/>
      <c r="HT125" s="10"/>
      <c r="HU125" s="10"/>
      <c r="HV125" s="10"/>
      <c r="HW125" s="10"/>
      <c r="HX125" s="10"/>
      <c r="HY125" s="10"/>
      <c r="HZ125" s="10"/>
      <c r="IA125" s="10"/>
      <c r="IB125" s="10"/>
      <c r="IC125" s="10"/>
      <c r="ID125" s="10"/>
      <c r="IE125" s="10"/>
      <c r="IF125" s="10"/>
      <c r="IG125" s="10"/>
      <c r="IH125" s="10"/>
      <c r="II125" s="10"/>
      <c r="IJ125" s="10"/>
      <c r="IK125" s="10"/>
      <c r="IL125" s="10"/>
      <c r="IM125" s="10"/>
      <c r="IN125" s="10"/>
      <c r="IO125" s="10"/>
      <c r="IP125" s="10"/>
      <c r="IQ125" s="10"/>
      <c r="IR125" s="10"/>
      <c r="IS125" s="10"/>
      <c r="IT125" s="10"/>
      <c r="IU125" s="10"/>
    </row>
    <row r="126" spans="1:257" ht="12" customHeight="1">
      <c r="A126" s="34" t="s">
        <v>31</v>
      </c>
      <c r="B126" s="35">
        <v>2.2609953703703702E-3</v>
      </c>
      <c r="C126" s="36">
        <f t="shared" si="114"/>
        <v>100</v>
      </c>
      <c r="D126" s="35">
        <v>2.2276620370370371E-3</v>
      </c>
      <c r="E126" s="36">
        <f t="shared" si="94"/>
        <v>92.575466306437363</v>
      </c>
      <c r="F126" s="35">
        <v>4.179166666666667E-3</v>
      </c>
      <c r="G126" s="36">
        <f t="shared" si="95"/>
        <v>49.354713636867167</v>
      </c>
      <c r="H126" s="37">
        <v>1.3158564814814812E-3</v>
      </c>
      <c r="I126" s="36">
        <f t="shared" si="96"/>
        <v>100</v>
      </c>
      <c r="J126" s="37">
        <v>8.0405092592592594E-4</v>
      </c>
      <c r="K126" s="36">
        <f t="shared" si="97"/>
        <v>100</v>
      </c>
      <c r="L126" s="35">
        <v>8.3884837962962967E-3</v>
      </c>
      <c r="M126" s="36">
        <f t="shared" si="98"/>
        <v>70.113761012190153</v>
      </c>
      <c r="N126" s="39">
        <v>10</v>
      </c>
      <c r="O126" s="36">
        <f t="shared" si="99"/>
        <v>40</v>
      </c>
      <c r="P126" s="37">
        <v>2.1087962962962963E-4</v>
      </c>
      <c r="Q126" s="36">
        <f t="shared" si="100"/>
        <v>76.234906695938534</v>
      </c>
      <c r="R126" s="40">
        <f>Birling!B70</f>
        <v>300</v>
      </c>
      <c r="S126" s="36">
        <f>Birling!C70</f>
        <v>90</v>
      </c>
      <c r="T126" s="37">
        <v>1.8032407407407407E-3</v>
      </c>
      <c r="U126" s="36">
        <f t="shared" si="101"/>
        <v>64.608472400513477</v>
      </c>
      <c r="V126" s="39">
        <v>19</v>
      </c>
      <c r="W126" s="36">
        <f t="shared" si="102"/>
        <v>95</v>
      </c>
      <c r="X126" s="37">
        <v>1.3570601851851851E-3</v>
      </c>
      <c r="Y126" s="36">
        <f t="shared" si="103"/>
        <v>38.703624733475486</v>
      </c>
      <c r="Z126" s="35">
        <v>9.6585648148148149E-4</v>
      </c>
      <c r="AA126" s="36">
        <f t="shared" si="104"/>
        <v>79.664469742360708</v>
      </c>
      <c r="AB126" s="35">
        <v>8.7962962962962962E-4</v>
      </c>
      <c r="AC126" s="36">
        <f t="shared" si="105"/>
        <v>87.078947368421041</v>
      </c>
      <c r="AD126" s="37">
        <v>1.0603009259259259E-3</v>
      </c>
      <c r="AE126" s="36">
        <f t="shared" si="106"/>
        <v>100</v>
      </c>
      <c r="AF126" s="35">
        <v>1.0247685185185184E-3</v>
      </c>
      <c r="AG126" s="36">
        <f t="shared" si="107"/>
        <v>100</v>
      </c>
      <c r="AH126" s="37">
        <v>2.0972222222222221E-3</v>
      </c>
      <c r="AI126" s="36">
        <f t="shared" si="108"/>
        <v>82.73730684326712</v>
      </c>
      <c r="AJ126" s="35">
        <v>6.1574074074074081E-5</v>
      </c>
      <c r="AK126" s="36">
        <f t="shared" si="109"/>
        <v>100</v>
      </c>
      <c r="AL126" s="207">
        <v>4.5486111111111102E-4</v>
      </c>
      <c r="AM126" s="218">
        <f t="shared" si="115"/>
        <v>100</v>
      </c>
      <c r="AN126" s="7"/>
      <c r="AO126" s="41" t="str">
        <f>A126</f>
        <v>Paul Smiths</v>
      </c>
      <c r="AP126" s="30">
        <f t="shared" si="113"/>
        <v>1566.0716687394713</v>
      </c>
      <c r="AQ126" s="57">
        <f t="shared" si="110"/>
        <v>1</v>
      </c>
      <c r="AR126" s="8">
        <v>6</v>
      </c>
      <c r="AS126" s="7" t="str">
        <f t="shared" si="111"/>
        <v>Dartmouth A</v>
      </c>
      <c r="AT126" s="9">
        <f t="shared" si="112"/>
        <v>1311.634968351239</v>
      </c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/>
      <c r="GQ126" s="10"/>
      <c r="GR126" s="10"/>
      <c r="GS126" s="10"/>
      <c r="GT126" s="10"/>
      <c r="GU126" s="10"/>
      <c r="GV126" s="10"/>
      <c r="GW126" s="10"/>
      <c r="GX126" s="10"/>
      <c r="GY126" s="10"/>
      <c r="GZ126" s="10"/>
      <c r="HA126" s="10"/>
      <c r="HB126" s="10"/>
      <c r="HC126" s="10"/>
      <c r="HD126" s="10"/>
      <c r="HE126" s="10"/>
      <c r="HF126" s="10"/>
      <c r="HG126" s="10"/>
      <c r="HH126" s="10"/>
      <c r="HI126" s="10"/>
      <c r="HJ126" s="10"/>
      <c r="HK126" s="10"/>
      <c r="HL126" s="10"/>
      <c r="HM126" s="10"/>
      <c r="HN126" s="10"/>
      <c r="HO126" s="10"/>
      <c r="HP126" s="10"/>
      <c r="HQ126" s="10"/>
      <c r="HR126" s="10"/>
      <c r="HS126" s="10"/>
      <c r="HT126" s="10"/>
      <c r="HU126" s="10"/>
      <c r="HV126" s="10"/>
      <c r="HW126" s="10"/>
      <c r="HX126" s="10"/>
      <c r="HY126" s="10"/>
      <c r="HZ126" s="10"/>
      <c r="IA126" s="10"/>
      <c r="IB126" s="10"/>
      <c r="IC126" s="10"/>
      <c r="ID126" s="10"/>
      <c r="IE126" s="10"/>
      <c r="IF126" s="10"/>
      <c r="IG126" s="10"/>
      <c r="IH126" s="10"/>
      <c r="II126" s="10"/>
      <c r="IJ126" s="10"/>
      <c r="IK126" s="10"/>
      <c r="IL126" s="10"/>
      <c r="IM126" s="10"/>
      <c r="IN126" s="10"/>
      <c r="IO126" s="10"/>
      <c r="IP126" s="10"/>
      <c r="IQ126" s="10"/>
      <c r="IR126" s="10"/>
      <c r="IS126" s="10"/>
      <c r="IT126" s="10"/>
      <c r="IU126" s="10"/>
    </row>
    <row r="127" spans="1:257" ht="12" customHeight="1">
      <c r="A127" s="23" t="s">
        <v>53</v>
      </c>
      <c r="B127" s="45">
        <v>2.3457175925925924E-3</v>
      </c>
      <c r="C127" s="46">
        <f t="shared" si="114"/>
        <v>96.388217299057587</v>
      </c>
      <c r="D127" s="45">
        <v>2.7653935185185182E-3</v>
      </c>
      <c r="E127" s="46">
        <f t="shared" si="94"/>
        <v>74.574143054451099</v>
      </c>
      <c r="F127" s="45">
        <v>2.776851851851852E-3</v>
      </c>
      <c r="G127" s="46">
        <f t="shared" si="95"/>
        <v>74.278926308769584</v>
      </c>
      <c r="H127" s="26">
        <v>1.460185185185185E-3</v>
      </c>
      <c r="I127" s="46">
        <f t="shared" si="96"/>
        <v>90.115726062143295</v>
      </c>
      <c r="J127" s="26">
        <v>1.0266782407407408E-3</v>
      </c>
      <c r="K127" s="46">
        <f t="shared" si="97"/>
        <v>78.315765740375397</v>
      </c>
      <c r="L127" s="45">
        <v>6.7769675925925922E-3</v>
      </c>
      <c r="M127" s="46">
        <f t="shared" si="98"/>
        <v>86.7863303332024</v>
      </c>
      <c r="N127" s="48">
        <v>21</v>
      </c>
      <c r="O127" s="46">
        <f t="shared" si="99"/>
        <v>84</v>
      </c>
      <c r="P127" s="26">
        <v>1.6076388888888889E-4</v>
      </c>
      <c r="Q127" s="46">
        <f t="shared" si="100"/>
        <v>100</v>
      </c>
      <c r="R127" s="49">
        <f>Birling!B71</f>
        <v>252.43</v>
      </c>
      <c r="S127" s="46">
        <f>Birling!C71</f>
        <v>100</v>
      </c>
      <c r="T127" s="26">
        <v>1.5090277777777778E-3</v>
      </c>
      <c r="U127" s="143">
        <f t="shared" si="101"/>
        <v>77.205092805645037</v>
      </c>
      <c r="V127" s="48">
        <v>20</v>
      </c>
      <c r="W127" s="46">
        <f t="shared" si="102"/>
        <v>100</v>
      </c>
      <c r="X127" s="26">
        <v>3.154976851851852E-3</v>
      </c>
      <c r="Y127" s="46">
        <f t="shared" si="103"/>
        <v>16.647712682049967</v>
      </c>
      <c r="Z127" s="45">
        <v>9.1215277777777768E-4</v>
      </c>
      <c r="AA127" s="46">
        <f t="shared" si="104"/>
        <v>84.354777312523808</v>
      </c>
      <c r="AB127" s="45">
        <v>9.9537037037037042E-4</v>
      </c>
      <c r="AC127" s="46">
        <f t="shared" si="105"/>
        <v>76.95348837209302</v>
      </c>
      <c r="AD127" s="26">
        <v>1.4652777777777778E-3</v>
      </c>
      <c r="AE127" s="46">
        <f t="shared" si="106"/>
        <v>72.361769352290679</v>
      </c>
      <c r="AF127" s="45">
        <v>1.4807870370370372E-3</v>
      </c>
      <c r="AG127" s="46">
        <f t="shared" si="107"/>
        <v>69.204314522432369</v>
      </c>
      <c r="AH127" s="26">
        <v>1.8193287037037034E-3</v>
      </c>
      <c r="AI127" s="46">
        <f t="shared" si="108"/>
        <v>95.375023856479444</v>
      </c>
      <c r="AJ127" s="45">
        <v>3.1180555555555557E-4</v>
      </c>
      <c r="AK127" s="46">
        <f t="shared" si="109"/>
        <v>19.747587230883447</v>
      </c>
      <c r="AL127" s="208">
        <v>1.170138888888889E-3</v>
      </c>
      <c r="AM127" s="183">
        <f t="shared" si="115"/>
        <v>38.872403560830847</v>
      </c>
      <c r="AN127" s="10"/>
      <c r="AO127" s="29" t="str">
        <f>A127</f>
        <v>UVM</v>
      </c>
      <c r="AP127" s="30">
        <f t="shared" si="113"/>
        <v>1435.1812784932279</v>
      </c>
      <c r="AQ127" s="31">
        <f t="shared" si="110"/>
        <v>4</v>
      </c>
      <c r="AR127" s="74">
        <v>7</v>
      </c>
      <c r="AS127" s="10" t="str">
        <f t="shared" si="111"/>
        <v>Ranger</v>
      </c>
      <c r="AT127" s="33">
        <f t="shared" si="112"/>
        <v>1050.0151542992614</v>
      </c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/>
      <c r="GQ127" s="10"/>
      <c r="GR127" s="10"/>
      <c r="GS127" s="10"/>
      <c r="GT127" s="10"/>
      <c r="GU127" s="10"/>
      <c r="GV127" s="10"/>
      <c r="GW127" s="10"/>
      <c r="GX127" s="10"/>
      <c r="GY127" s="10"/>
      <c r="GZ127" s="10"/>
      <c r="HA127" s="10"/>
      <c r="HB127" s="10"/>
      <c r="HC127" s="10"/>
      <c r="HD127" s="10"/>
      <c r="HE127" s="10"/>
      <c r="HF127" s="10"/>
      <c r="HG127" s="10"/>
      <c r="HH127" s="10"/>
      <c r="HI127" s="10"/>
      <c r="HJ127" s="10"/>
      <c r="HK127" s="10"/>
      <c r="HL127" s="10"/>
      <c r="HM127" s="10"/>
      <c r="HN127" s="10"/>
      <c r="HO127" s="10"/>
      <c r="HP127" s="10"/>
      <c r="HQ127" s="10"/>
      <c r="HR127" s="10"/>
      <c r="HS127" s="10"/>
      <c r="HT127" s="10"/>
      <c r="HU127" s="10"/>
      <c r="HV127" s="10"/>
      <c r="HW127" s="10"/>
      <c r="HX127" s="10"/>
      <c r="HY127" s="10"/>
      <c r="HZ127" s="10"/>
      <c r="IA127" s="10"/>
      <c r="IB127" s="10"/>
      <c r="IC127" s="10"/>
      <c r="ID127" s="10"/>
      <c r="IE127" s="10"/>
      <c r="IF127" s="10"/>
      <c r="IG127" s="10"/>
      <c r="IH127" s="10"/>
      <c r="II127" s="10"/>
      <c r="IJ127" s="10"/>
      <c r="IK127" s="10"/>
      <c r="IL127" s="10"/>
      <c r="IM127" s="10"/>
      <c r="IN127" s="10"/>
      <c r="IO127" s="10"/>
      <c r="IP127" s="10"/>
      <c r="IQ127" s="10"/>
      <c r="IR127" s="10"/>
      <c r="IS127" s="10"/>
      <c r="IT127" s="10"/>
      <c r="IU127" s="10"/>
    </row>
    <row r="128" spans="1:257" ht="12" customHeight="1">
      <c r="A128" s="34" t="s">
        <v>30</v>
      </c>
      <c r="B128" s="35">
        <v>2.4525462962962964E-3</v>
      </c>
      <c r="C128" s="36">
        <f t="shared" si="114"/>
        <v>92.189712128362416</v>
      </c>
      <c r="D128" s="35">
        <v>3.3048611111111113E-3</v>
      </c>
      <c r="E128" s="36">
        <f t="shared" si="94"/>
        <v>62.401064649436144</v>
      </c>
      <c r="F128" s="35">
        <v>2.449537037037037E-3</v>
      </c>
      <c r="G128" s="36">
        <f t="shared" si="95"/>
        <v>84.204309204309197</v>
      </c>
      <c r="H128" s="37">
        <v>1.6157407407407407E-3</v>
      </c>
      <c r="I128" s="36">
        <f t="shared" si="96"/>
        <v>81.439828080229219</v>
      </c>
      <c r="J128" s="37">
        <v>1.1685763888888889E-3</v>
      </c>
      <c r="K128" s="36">
        <f t="shared" si="97"/>
        <v>68.806021888773344</v>
      </c>
      <c r="L128" s="35">
        <v>6.7083912037037034E-3</v>
      </c>
      <c r="M128" s="36">
        <f t="shared" si="98"/>
        <v>87.673501781385596</v>
      </c>
      <c r="N128" s="39">
        <v>25</v>
      </c>
      <c r="O128" s="36">
        <f t="shared" si="99"/>
        <v>100</v>
      </c>
      <c r="P128" s="37">
        <v>4.4016203703703708E-4</v>
      </c>
      <c r="Q128" s="36">
        <f t="shared" si="100"/>
        <v>36.52379700236655</v>
      </c>
      <c r="R128" s="40">
        <f>Birling!B72</f>
        <v>9.9</v>
      </c>
      <c r="S128" s="36">
        <f>Birling!C72</f>
        <v>4.4377206253151789</v>
      </c>
      <c r="T128" s="37">
        <v>2.9458333333333333E-3</v>
      </c>
      <c r="U128" s="36">
        <f t="shared" si="101"/>
        <v>39.548954895489544</v>
      </c>
      <c r="V128" s="39">
        <v>7</v>
      </c>
      <c r="W128" s="36">
        <f t="shared" si="102"/>
        <v>35</v>
      </c>
      <c r="X128" s="37">
        <v>5.2523148148148156E-4</v>
      </c>
      <c r="Y128" s="36">
        <f t="shared" si="103"/>
        <v>100</v>
      </c>
      <c r="Z128" s="35">
        <v>8.2893518518518516E-4</v>
      </c>
      <c r="AA128" s="36">
        <f t="shared" si="104"/>
        <v>92.823233733593995</v>
      </c>
      <c r="AB128" s="35">
        <v>8.7465277777777791E-4</v>
      </c>
      <c r="AC128" s="36">
        <f t="shared" si="105"/>
        <v>87.574434299325105</v>
      </c>
      <c r="AD128" s="37">
        <v>1.2239583333333332E-3</v>
      </c>
      <c r="AE128" s="36">
        <f t="shared" si="106"/>
        <v>86.628841607565022</v>
      </c>
      <c r="AF128" s="35">
        <v>1.3172453703703705E-3</v>
      </c>
      <c r="AG128" s="36">
        <f t="shared" si="107"/>
        <v>77.796327212020017</v>
      </c>
      <c r="AH128" s="35">
        <v>1.7351851851851853E-3</v>
      </c>
      <c r="AI128" s="36">
        <f t="shared" si="108"/>
        <v>100</v>
      </c>
      <c r="AJ128" s="35">
        <v>8.8425925925925919E-5</v>
      </c>
      <c r="AK128" s="36">
        <f t="shared" si="109"/>
        <v>69.63350785340316</v>
      </c>
      <c r="AL128" s="207">
        <v>9.0879629629629633E-4</v>
      </c>
      <c r="AM128" s="218">
        <f t="shared" si="115"/>
        <v>50.050942435048384</v>
      </c>
      <c r="AN128" s="7"/>
      <c r="AO128" s="41" t="str">
        <f>A128</f>
        <v>Morrisville</v>
      </c>
      <c r="AP128" s="30">
        <f t="shared" si="113"/>
        <v>1356.732197396623</v>
      </c>
      <c r="AQ128" s="57">
        <f t="shared" si="110"/>
        <v>5</v>
      </c>
      <c r="AR128" s="8">
        <v>8</v>
      </c>
      <c r="AS128" s="7" t="str">
        <f t="shared" si="111"/>
        <v>UConn</v>
      </c>
      <c r="AT128" s="9">
        <f t="shared" si="112"/>
        <v>955.76148442191175</v>
      </c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/>
      <c r="GQ128" s="10"/>
      <c r="GR128" s="10"/>
      <c r="GS128" s="10"/>
      <c r="GT128" s="10"/>
      <c r="GU128" s="10"/>
      <c r="GV128" s="10"/>
      <c r="GW128" s="10"/>
      <c r="GX128" s="10"/>
      <c r="GY128" s="10"/>
      <c r="GZ128" s="10"/>
      <c r="HA128" s="10"/>
      <c r="HB128" s="10"/>
      <c r="HC128" s="10"/>
      <c r="HD128" s="10"/>
      <c r="HE128" s="10"/>
      <c r="HF128" s="10"/>
      <c r="HG128" s="10"/>
      <c r="HH128" s="10"/>
      <c r="HI128" s="10"/>
      <c r="HJ128" s="10"/>
      <c r="HK128" s="10"/>
      <c r="HL128" s="10"/>
      <c r="HM128" s="10"/>
      <c r="HN128" s="10"/>
      <c r="HO128" s="10"/>
      <c r="HP128" s="10"/>
      <c r="HQ128" s="10"/>
      <c r="HR128" s="10"/>
      <c r="HS128" s="10"/>
      <c r="HT128" s="10"/>
      <c r="HU128" s="10"/>
      <c r="HV128" s="10"/>
      <c r="HW128" s="10"/>
      <c r="HX128" s="10"/>
      <c r="HY128" s="10"/>
      <c r="HZ128" s="10"/>
      <c r="IA128" s="10"/>
      <c r="IB128" s="10"/>
      <c r="IC128" s="10"/>
      <c r="ID128" s="10"/>
      <c r="IE128" s="10"/>
      <c r="IF128" s="10"/>
      <c r="IG128" s="10"/>
      <c r="IH128" s="10"/>
      <c r="II128" s="10"/>
      <c r="IJ128" s="10"/>
      <c r="IK128" s="10"/>
      <c r="IL128" s="10"/>
      <c r="IM128" s="10"/>
      <c r="IN128" s="10"/>
      <c r="IO128" s="10"/>
      <c r="IP128" s="10"/>
      <c r="IQ128" s="10"/>
      <c r="IR128" s="10"/>
      <c r="IS128" s="10"/>
      <c r="IT128" s="10"/>
      <c r="IU128" s="10"/>
    </row>
    <row r="129" spans="1:255" ht="12" customHeight="1">
      <c r="A129" s="23" t="s">
        <v>36</v>
      </c>
      <c r="B129" s="45">
        <v>2.9730324074074073E-3</v>
      </c>
      <c r="C129" s="46">
        <f t="shared" si="114"/>
        <v>76.050142095223265</v>
      </c>
      <c r="D129" s="45">
        <v>3.6473379629629629E-3</v>
      </c>
      <c r="E129" s="46">
        <f t="shared" si="94"/>
        <v>56.541744676800043</v>
      </c>
      <c r="F129" s="45">
        <v>2.2765046296296296E-3</v>
      </c>
      <c r="G129" s="46">
        <f t="shared" si="95"/>
        <v>90.604504550307581</v>
      </c>
      <c r="H129" s="26">
        <v>2.2186342592592592E-3</v>
      </c>
      <c r="I129" s="46">
        <f t="shared" si="96"/>
        <v>59.309301476342</v>
      </c>
      <c r="J129" s="26">
        <v>1.9520833333333332E-3</v>
      </c>
      <c r="K129" s="46">
        <f t="shared" si="97"/>
        <v>41.189375074113606</v>
      </c>
      <c r="L129" s="45">
        <v>6.7606481481481476E-3</v>
      </c>
      <c r="M129" s="46">
        <f t="shared" si="98"/>
        <v>86.995822776141893</v>
      </c>
      <c r="N129" s="48">
        <v>7</v>
      </c>
      <c r="O129" s="46">
        <f t="shared" si="99"/>
        <v>28.000000000000004</v>
      </c>
      <c r="P129" s="26">
        <v>4.4074074074074068E-4</v>
      </c>
      <c r="Q129" s="46">
        <f t="shared" si="100"/>
        <v>36.475840336134461</v>
      </c>
      <c r="R129" s="49">
        <f>Birling!B73</f>
        <v>13.15</v>
      </c>
      <c r="S129" s="46">
        <f>Birling!C73</f>
        <v>5.8945481033226876</v>
      </c>
      <c r="T129" s="26">
        <v>3.0819444444444444E-3</v>
      </c>
      <c r="U129" s="46">
        <f t="shared" si="101"/>
        <v>37.802313354363825</v>
      </c>
      <c r="V129" s="48">
        <v>5</v>
      </c>
      <c r="W129" s="46">
        <f t="shared" si="102"/>
        <v>25</v>
      </c>
      <c r="X129" s="26">
        <v>4.3049768518518524E-3</v>
      </c>
      <c r="Y129" s="46">
        <f t="shared" si="103"/>
        <v>12.200564592015056</v>
      </c>
      <c r="Z129" s="45">
        <v>8.7557870370370361E-4</v>
      </c>
      <c r="AA129" s="46">
        <f t="shared" si="104"/>
        <v>87.878387309980198</v>
      </c>
      <c r="AB129" s="45">
        <v>1.7498842592592594E-3</v>
      </c>
      <c r="AC129" s="46">
        <f t="shared" si="105"/>
        <v>43.772736292082804</v>
      </c>
      <c r="AD129" s="26">
        <v>2.3777777777777777E-3</v>
      </c>
      <c r="AE129" s="46">
        <f t="shared" si="106"/>
        <v>44.592095015576326</v>
      </c>
      <c r="AF129" s="45">
        <v>5.749652777777778E-3</v>
      </c>
      <c r="AG129" s="46">
        <f t="shared" si="107"/>
        <v>17.823137468043559</v>
      </c>
      <c r="AH129" s="26">
        <v>2.5884259259259259E-3</v>
      </c>
      <c r="AI129" s="46">
        <f t="shared" si="108"/>
        <v>67.03630835270971</v>
      </c>
      <c r="AJ129" s="45">
        <v>1.7650462962962962E-4</v>
      </c>
      <c r="AK129" s="46">
        <f t="shared" si="109"/>
        <v>34.885245901639351</v>
      </c>
      <c r="AL129" s="208">
        <v>2.9905092592592587E-3</v>
      </c>
      <c r="AM129" s="183">
        <f t="shared" si="115"/>
        <v>15.210155584797585</v>
      </c>
      <c r="AN129" s="10"/>
      <c r="AO129" s="29" t="str">
        <f>A129</f>
        <v>Dartmouth B</v>
      </c>
      <c r="AP129" s="30">
        <f>SUM(C129,E129,G129,I129,K129,AI129,O129,Q129,U129,Y129,S129,W129,AC129,AG129,AK129,AA129,AE129,M129,AM129)</f>
        <v>867.26222295959383</v>
      </c>
      <c r="AQ129" s="31">
        <f t="shared" si="110"/>
        <v>9</v>
      </c>
      <c r="AR129" s="74">
        <v>9</v>
      </c>
      <c r="AS129" s="10" t="str">
        <f t="shared" si="111"/>
        <v>Dartmouth B</v>
      </c>
      <c r="AT129" s="33">
        <f t="shared" si="112"/>
        <v>867.26222295959383</v>
      </c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/>
      <c r="GQ129" s="10"/>
      <c r="GR129" s="10"/>
      <c r="GS129" s="10"/>
      <c r="GT129" s="10"/>
      <c r="GU129" s="10"/>
      <c r="GV129" s="10"/>
      <c r="GW129" s="10"/>
      <c r="GX129" s="10"/>
      <c r="GY129" s="10"/>
      <c r="GZ129" s="10"/>
      <c r="HA129" s="10"/>
      <c r="HB129" s="10"/>
      <c r="HC129" s="10"/>
      <c r="HD129" s="10"/>
      <c r="HE129" s="10"/>
      <c r="HF129" s="10"/>
      <c r="HG129" s="10"/>
      <c r="HH129" s="10"/>
      <c r="HI129" s="10"/>
      <c r="HJ129" s="10"/>
      <c r="HK129" s="10"/>
      <c r="HL129" s="10"/>
      <c r="HM129" s="10"/>
      <c r="HN129" s="10"/>
      <c r="HO129" s="10"/>
      <c r="HP129" s="10"/>
      <c r="HQ129" s="10"/>
      <c r="HR129" s="10"/>
      <c r="HS129" s="10"/>
      <c r="HT129" s="10"/>
      <c r="HU129" s="10"/>
      <c r="HV129" s="10"/>
      <c r="HW129" s="10"/>
      <c r="HX129" s="10"/>
      <c r="HY129" s="10"/>
      <c r="HZ129" s="10"/>
      <c r="IA129" s="10"/>
      <c r="IB129" s="10"/>
      <c r="IC129" s="10"/>
      <c r="ID129" s="10"/>
      <c r="IE129" s="10"/>
      <c r="IF129" s="10"/>
      <c r="IG129" s="10"/>
      <c r="IH129" s="10"/>
      <c r="II129" s="10"/>
      <c r="IJ129" s="10"/>
      <c r="IK129" s="10"/>
      <c r="IL129" s="10"/>
      <c r="IM129" s="10"/>
      <c r="IN129" s="10"/>
      <c r="IO129" s="10"/>
      <c r="IP129" s="10"/>
      <c r="IQ129" s="10"/>
      <c r="IR129" s="10"/>
      <c r="IS129" s="10"/>
      <c r="IT129" s="10"/>
      <c r="IU129" s="10"/>
    </row>
    <row r="130" spans="1:255" ht="12" customHeight="1">
      <c r="A130" s="34"/>
      <c r="B130" s="35"/>
      <c r="C130" s="36" t="str">
        <f t="shared" si="114"/>
        <v/>
      </c>
      <c r="D130" s="35"/>
      <c r="E130" s="36" t="str">
        <f t="shared" si="94"/>
        <v/>
      </c>
      <c r="F130" s="35"/>
      <c r="G130" s="36" t="str">
        <f t="shared" si="95"/>
        <v/>
      </c>
      <c r="H130" s="37"/>
      <c r="I130" s="36" t="str">
        <f t="shared" si="96"/>
        <v/>
      </c>
      <c r="J130" s="37"/>
      <c r="K130" s="36" t="str">
        <f t="shared" si="97"/>
        <v/>
      </c>
      <c r="L130" s="35"/>
      <c r="M130" s="36" t="str">
        <f t="shared" si="98"/>
        <v/>
      </c>
      <c r="N130" s="39"/>
      <c r="O130" s="36" t="str">
        <f t="shared" si="99"/>
        <v/>
      </c>
      <c r="P130" s="37"/>
      <c r="Q130" s="36" t="str">
        <f t="shared" si="100"/>
        <v/>
      </c>
      <c r="R130" s="40"/>
      <c r="S130" s="36"/>
      <c r="T130" s="37"/>
      <c r="U130" s="36" t="str">
        <f t="shared" si="101"/>
        <v/>
      </c>
      <c r="V130" s="39"/>
      <c r="W130" s="36" t="str">
        <f t="shared" si="102"/>
        <v/>
      </c>
      <c r="X130" s="37"/>
      <c r="Y130" s="36" t="str">
        <f t="shared" si="103"/>
        <v/>
      </c>
      <c r="Z130" s="35"/>
      <c r="AA130" s="36" t="str">
        <f t="shared" si="104"/>
        <v/>
      </c>
      <c r="AB130" s="35"/>
      <c r="AC130" s="36" t="str">
        <f t="shared" si="105"/>
        <v/>
      </c>
      <c r="AD130" s="37"/>
      <c r="AE130" s="36" t="str">
        <f t="shared" si="106"/>
        <v/>
      </c>
      <c r="AF130" s="35"/>
      <c r="AG130" s="36" t="str">
        <f t="shared" si="107"/>
        <v/>
      </c>
      <c r="AH130" s="37"/>
      <c r="AI130" s="36" t="str">
        <f t="shared" si="108"/>
        <v/>
      </c>
      <c r="AJ130" s="35"/>
      <c r="AK130" s="36" t="str">
        <f t="shared" si="109"/>
        <v/>
      </c>
      <c r="AL130" s="207"/>
      <c r="AM130" s="218" t="str">
        <f t="shared" si="115"/>
        <v/>
      </c>
      <c r="AN130" s="7"/>
      <c r="AO130" s="41"/>
      <c r="AP130" s="42"/>
      <c r="AQ130" s="57"/>
      <c r="AR130" s="8"/>
      <c r="AS130" s="7"/>
      <c r="AT130" s="9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  <c r="GP130" s="10"/>
      <c r="GQ130" s="10"/>
      <c r="GR130" s="10"/>
      <c r="GS130" s="10"/>
      <c r="GT130" s="10"/>
      <c r="GU130" s="10"/>
      <c r="GV130" s="10"/>
      <c r="GW130" s="10"/>
      <c r="GX130" s="10"/>
      <c r="GY130" s="10"/>
      <c r="GZ130" s="10"/>
      <c r="HA130" s="10"/>
      <c r="HB130" s="10"/>
      <c r="HC130" s="10"/>
      <c r="HD130" s="10"/>
      <c r="HE130" s="10"/>
      <c r="HF130" s="10"/>
      <c r="HG130" s="10"/>
      <c r="HH130" s="10"/>
      <c r="HI130" s="10"/>
      <c r="HJ130" s="10"/>
      <c r="HK130" s="10"/>
      <c r="HL130" s="10"/>
      <c r="HM130" s="10"/>
      <c r="HN130" s="10"/>
      <c r="HO130" s="10"/>
      <c r="HP130" s="10"/>
      <c r="HQ130" s="10"/>
      <c r="HR130" s="10"/>
      <c r="HS130" s="10"/>
      <c r="HT130" s="10"/>
      <c r="HU130" s="10"/>
      <c r="HV130" s="10"/>
      <c r="HW130" s="10"/>
      <c r="HX130" s="10"/>
      <c r="HY130" s="10"/>
      <c r="HZ130" s="10"/>
      <c r="IA130" s="10"/>
      <c r="IB130" s="10"/>
      <c r="IC130" s="10"/>
      <c r="ID130" s="10"/>
      <c r="IE130" s="10"/>
      <c r="IF130" s="10"/>
      <c r="IG130" s="10"/>
      <c r="IH130" s="10"/>
      <c r="II130" s="10"/>
      <c r="IJ130" s="10"/>
      <c r="IK130" s="10"/>
      <c r="IL130" s="10"/>
      <c r="IM130" s="10"/>
      <c r="IN130" s="10"/>
      <c r="IO130" s="10"/>
      <c r="IP130" s="10"/>
      <c r="IQ130" s="10"/>
      <c r="IR130" s="10"/>
      <c r="IS130" s="10"/>
      <c r="IT130" s="10"/>
      <c r="IU130" s="10"/>
    </row>
    <row r="131" spans="1:255" ht="12" customHeight="1">
      <c r="A131" s="51"/>
      <c r="B131" s="45"/>
      <c r="C131" s="46" t="str">
        <f t="shared" si="114"/>
        <v/>
      </c>
      <c r="D131" s="45"/>
      <c r="E131" s="46" t="str">
        <f t="shared" si="94"/>
        <v/>
      </c>
      <c r="F131" s="45"/>
      <c r="G131" s="46" t="str">
        <f t="shared" si="95"/>
        <v/>
      </c>
      <c r="H131" s="26"/>
      <c r="I131" s="46" t="str">
        <f t="shared" si="96"/>
        <v/>
      </c>
      <c r="J131" s="126"/>
      <c r="K131" s="46" t="str">
        <f t="shared" si="97"/>
        <v/>
      </c>
      <c r="L131" s="45"/>
      <c r="M131" s="46" t="str">
        <f t="shared" si="98"/>
        <v/>
      </c>
      <c r="N131" s="48"/>
      <c r="O131" s="46" t="str">
        <f t="shared" si="99"/>
        <v/>
      </c>
      <c r="P131" s="26"/>
      <c r="Q131" s="46" t="str">
        <f t="shared" si="100"/>
        <v/>
      </c>
      <c r="R131" s="49"/>
      <c r="S131" s="46"/>
      <c r="T131" s="26"/>
      <c r="U131" s="46" t="str">
        <f t="shared" si="101"/>
        <v/>
      </c>
      <c r="V131" s="48"/>
      <c r="W131" s="46" t="str">
        <f t="shared" si="102"/>
        <v/>
      </c>
      <c r="X131" s="26"/>
      <c r="Y131" s="46" t="str">
        <f t="shared" si="103"/>
        <v/>
      </c>
      <c r="Z131" s="45"/>
      <c r="AA131" s="46" t="str">
        <f t="shared" si="104"/>
        <v/>
      </c>
      <c r="AB131" s="45"/>
      <c r="AC131" s="46" t="str">
        <f t="shared" si="105"/>
        <v/>
      </c>
      <c r="AD131" s="26"/>
      <c r="AE131" s="46" t="str">
        <f t="shared" si="106"/>
        <v/>
      </c>
      <c r="AF131" s="45"/>
      <c r="AG131" s="46" t="str">
        <f t="shared" si="107"/>
        <v/>
      </c>
      <c r="AH131" s="26"/>
      <c r="AI131" s="46" t="str">
        <f t="shared" si="108"/>
        <v/>
      </c>
      <c r="AJ131" s="45"/>
      <c r="AK131" s="46" t="str">
        <f t="shared" si="109"/>
        <v/>
      </c>
      <c r="AL131" s="208"/>
      <c r="AM131" s="183" t="str">
        <f t="shared" si="115"/>
        <v/>
      </c>
      <c r="AN131" s="10"/>
      <c r="AO131" s="29"/>
      <c r="AP131" s="30"/>
      <c r="AQ131" s="31"/>
      <c r="AR131" s="74"/>
      <c r="AS131" s="10"/>
      <c r="AT131" s="33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  <c r="GP131" s="10"/>
      <c r="GQ131" s="10"/>
      <c r="GR131" s="10"/>
      <c r="GS131" s="10"/>
      <c r="GT131" s="10"/>
      <c r="GU131" s="10"/>
      <c r="GV131" s="10"/>
      <c r="GW131" s="10"/>
      <c r="GX131" s="10"/>
      <c r="GY131" s="10"/>
      <c r="GZ131" s="10"/>
      <c r="HA131" s="10"/>
      <c r="HB131" s="10"/>
      <c r="HC131" s="10"/>
      <c r="HD131" s="10"/>
      <c r="HE131" s="10"/>
      <c r="HF131" s="10"/>
      <c r="HG131" s="10"/>
      <c r="HH131" s="10"/>
      <c r="HI131" s="10"/>
      <c r="HJ131" s="10"/>
      <c r="HK131" s="10"/>
      <c r="HL131" s="10"/>
      <c r="HM131" s="10"/>
      <c r="HN131" s="10"/>
      <c r="HO131" s="10"/>
      <c r="HP131" s="10"/>
      <c r="HQ131" s="10"/>
      <c r="HR131" s="10"/>
      <c r="HS131" s="10"/>
      <c r="HT131" s="10"/>
      <c r="HU131" s="10"/>
      <c r="HV131" s="10"/>
      <c r="HW131" s="10"/>
      <c r="HX131" s="10"/>
      <c r="HY131" s="10"/>
      <c r="HZ131" s="10"/>
      <c r="IA131" s="10"/>
      <c r="IB131" s="10"/>
      <c r="IC131" s="10"/>
      <c r="ID131" s="10"/>
      <c r="IE131" s="10"/>
      <c r="IF131" s="10"/>
      <c r="IG131" s="10"/>
      <c r="IH131" s="10"/>
      <c r="II131" s="10"/>
      <c r="IJ131" s="10"/>
      <c r="IK131" s="10"/>
      <c r="IL131" s="10"/>
      <c r="IM131" s="10"/>
      <c r="IN131" s="10"/>
      <c r="IO131" s="10"/>
      <c r="IP131" s="10"/>
      <c r="IQ131" s="10"/>
      <c r="IR131" s="10"/>
      <c r="IS131" s="10"/>
      <c r="IT131" s="10"/>
      <c r="IU131" s="10"/>
    </row>
    <row r="132" spans="1:255" ht="12" customHeight="1">
      <c r="A132" s="60"/>
      <c r="B132" s="35"/>
      <c r="C132" s="36"/>
      <c r="D132" s="35"/>
      <c r="E132" s="36"/>
      <c r="F132" s="35"/>
      <c r="G132" s="36"/>
      <c r="H132" s="37"/>
      <c r="I132" s="36"/>
      <c r="J132" s="88"/>
      <c r="K132" s="36"/>
      <c r="L132" s="35"/>
      <c r="M132" s="36"/>
      <c r="N132" s="39"/>
      <c r="O132" s="36"/>
      <c r="P132" s="37"/>
      <c r="Q132" s="36"/>
      <c r="R132" s="6"/>
      <c r="S132" s="36"/>
      <c r="T132" s="37"/>
      <c r="U132" s="36"/>
      <c r="V132" s="39"/>
      <c r="W132" s="36"/>
      <c r="X132" s="37"/>
      <c r="Y132" s="36"/>
      <c r="Z132" s="35"/>
      <c r="AA132" s="36"/>
      <c r="AB132" s="35"/>
      <c r="AC132" s="36"/>
      <c r="AD132" s="37"/>
      <c r="AE132" s="36"/>
      <c r="AF132" s="35"/>
      <c r="AG132" s="36"/>
      <c r="AH132" s="37"/>
      <c r="AI132" s="36"/>
      <c r="AJ132" s="35"/>
      <c r="AK132" s="36"/>
      <c r="AL132" s="230"/>
      <c r="AM132" s="218" t="str">
        <f t="shared" si="115"/>
        <v/>
      </c>
      <c r="AN132" s="7"/>
      <c r="AO132" s="41"/>
      <c r="AP132" s="42"/>
      <c r="AQ132" s="57"/>
      <c r="AR132" s="8"/>
      <c r="AS132" s="7"/>
      <c r="AT132" s="9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  <c r="GP132" s="10"/>
      <c r="GQ132" s="10"/>
      <c r="GR132" s="10"/>
      <c r="GS132" s="10"/>
      <c r="GT132" s="10"/>
      <c r="GU132" s="10"/>
      <c r="GV132" s="10"/>
      <c r="GW132" s="10"/>
      <c r="GX132" s="10"/>
      <c r="GY132" s="10"/>
      <c r="GZ132" s="10"/>
      <c r="HA132" s="10"/>
      <c r="HB132" s="10"/>
      <c r="HC132" s="10"/>
      <c r="HD132" s="10"/>
      <c r="HE132" s="10"/>
      <c r="HF132" s="10"/>
      <c r="HG132" s="10"/>
      <c r="HH132" s="10"/>
      <c r="HI132" s="10"/>
      <c r="HJ132" s="10"/>
      <c r="HK132" s="10"/>
      <c r="HL132" s="10"/>
      <c r="HM132" s="10"/>
      <c r="HN132" s="10"/>
      <c r="HO132" s="10"/>
      <c r="HP132" s="10"/>
      <c r="HQ132" s="10"/>
      <c r="HR132" s="10"/>
      <c r="HS132" s="10"/>
      <c r="HT132" s="10"/>
      <c r="HU132" s="10"/>
      <c r="HV132" s="10"/>
      <c r="HW132" s="10"/>
      <c r="HX132" s="10"/>
      <c r="HY132" s="10"/>
      <c r="HZ132" s="10"/>
      <c r="IA132" s="10"/>
      <c r="IB132" s="10"/>
      <c r="IC132" s="10"/>
      <c r="ID132" s="10"/>
      <c r="IE132" s="10"/>
      <c r="IF132" s="10"/>
      <c r="IG132" s="10"/>
      <c r="IH132" s="10"/>
      <c r="II132" s="10"/>
      <c r="IJ132" s="10"/>
      <c r="IK132" s="10"/>
      <c r="IL132" s="10"/>
      <c r="IM132" s="10"/>
      <c r="IN132" s="10"/>
      <c r="IO132" s="10"/>
      <c r="IP132" s="10"/>
      <c r="IQ132" s="10"/>
      <c r="IR132" s="10"/>
      <c r="IS132" s="10"/>
      <c r="IT132" s="10"/>
      <c r="IU132" s="10"/>
    </row>
    <row r="133" spans="1:255" ht="12" customHeight="1">
      <c r="A133" s="138"/>
      <c r="B133" s="92"/>
      <c r="C133" s="152" t="str">
        <f>IF(B133="DNF","DNF",IF(B133&gt;0,B$137/B133*100,""))</f>
        <v/>
      </c>
      <c r="D133" s="90"/>
      <c r="E133" s="79"/>
      <c r="F133" s="90"/>
      <c r="G133" s="79"/>
      <c r="H133" s="90"/>
      <c r="I133" s="79"/>
      <c r="J133" s="90"/>
      <c r="K133" s="79"/>
      <c r="L133" s="91"/>
      <c r="M133" s="79"/>
      <c r="N133" s="90"/>
      <c r="O133" s="79"/>
      <c r="P133" s="92"/>
      <c r="Q133" s="79"/>
      <c r="R133" s="90"/>
      <c r="S133" s="79"/>
      <c r="T133" s="90"/>
      <c r="U133" s="79"/>
      <c r="V133" s="93"/>
      <c r="W133" s="79"/>
      <c r="X133" s="92"/>
      <c r="Y133" s="79"/>
      <c r="Z133" s="94"/>
      <c r="AA133" s="79"/>
      <c r="AB133" s="92"/>
      <c r="AC133" s="79"/>
      <c r="AD133" s="92"/>
      <c r="AE133" s="79"/>
      <c r="AF133" s="92"/>
      <c r="AG133" s="79"/>
      <c r="AH133" s="90"/>
      <c r="AI133" s="79"/>
      <c r="AJ133" s="92"/>
      <c r="AK133" s="79"/>
      <c r="AL133" s="208"/>
      <c r="AM133" s="183" t="str">
        <f t="shared" si="115"/>
        <v/>
      </c>
      <c r="AN133" s="10"/>
      <c r="AO133" s="95"/>
      <c r="AP133" s="96"/>
      <c r="AQ133" s="97"/>
      <c r="AR133" s="54"/>
      <c r="AS133" s="10"/>
      <c r="AT133" s="33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  <c r="GP133" s="10"/>
      <c r="GQ133" s="10"/>
      <c r="GR133" s="10"/>
      <c r="GS133" s="10"/>
      <c r="GT133" s="10"/>
      <c r="GU133" s="10"/>
      <c r="GV133" s="10"/>
      <c r="GW133" s="10"/>
      <c r="GX133" s="10"/>
      <c r="GY133" s="10"/>
      <c r="GZ133" s="10"/>
      <c r="HA133" s="10"/>
      <c r="HB133" s="10"/>
      <c r="HC133" s="10"/>
      <c r="HD133" s="10"/>
      <c r="HE133" s="10"/>
      <c r="HF133" s="10"/>
      <c r="HG133" s="10"/>
      <c r="HH133" s="10"/>
      <c r="HI133" s="10"/>
      <c r="HJ133" s="10"/>
      <c r="HK133" s="10"/>
      <c r="HL133" s="10"/>
      <c r="HM133" s="10"/>
      <c r="HN133" s="10"/>
      <c r="HO133" s="10"/>
      <c r="HP133" s="10"/>
      <c r="HQ133" s="10"/>
      <c r="HR133" s="10"/>
      <c r="HS133" s="10"/>
      <c r="HT133" s="10"/>
      <c r="HU133" s="10"/>
      <c r="HV133" s="10"/>
      <c r="HW133" s="10"/>
      <c r="HX133" s="10"/>
      <c r="HY133" s="10"/>
      <c r="HZ133" s="10"/>
      <c r="IA133" s="10"/>
      <c r="IB133" s="10"/>
      <c r="IC133" s="10"/>
      <c r="ID133" s="10"/>
      <c r="IE133" s="10"/>
      <c r="IF133" s="10"/>
      <c r="IG133" s="10"/>
      <c r="IH133" s="10"/>
      <c r="II133" s="10"/>
      <c r="IJ133" s="10"/>
      <c r="IK133" s="10"/>
      <c r="IL133" s="10"/>
      <c r="IM133" s="10"/>
      <c r="IN133" s="10"/>
      <c r="IO133" s="10"/>
      <c r="IP133" s="10"/>
      <c r="IQ133" s="10"/>
      <c r="IR133" s="10"/>
      <c r="IS133" s="10"/>
      <c r="IT133" s="10"/>
      <c r="IU133" s="10"/>
    </row>
    <row r="134" spans="1:255" ht="12" customHeight="1">
      <c r="A134" s="155"/>
      <c r="B134" s="156"/>
      <c r="C134" s="154" t="str">
        <f t="shared" ref="C134:C135" si="116">IF(B134="DNF","DNF",IF(B134&gt;0,B$137/B134*100,""))</f>
        <v/>
      </c>
      <c r="D134" s="151"/>
      <c r="E134" s="98"/>
      <c r="F134" s="4"/>
      <c r="G134" s="98"/>
      <c r="H134" s="99"/>
      <c r="I134" s="98"/>
      <c r="J134" s="127"/>
      <c r="K134" s="98"/>
      <c r="L134" s="4"/>
      <c r="M134" s="98"/>
      <c r="N134" s="5"/>
      <c r="O134" s="98"/>
      <c r="P134" s="99"/>
      <c r="Q134" s="98"/>
      <c r="R134" s="2"/>
      <c r="S134" s="98"/>
      <c r="T134" s="99"/>
      <c r="U134" s="98"/>
      <c r="V134" s="5"/>
      <c r="W134" s="98"/>
      <c r="X134" s="102"/>
      <c r="Y134" s="98"/>
      <c r="Z134" s="86"/>
      <c r="AA134" s="98"/>
      <c r="AB134" s="4"/>
      <c r="AC134" s="98"/>
      <c r="AD134" s="99"/>
      <c r="AE134" s="98"/>
      <c r="AF134" s="4"/>
      <c r="AG134" s="98"/>
      <c r="AH134" s="99"/>
      <c r="AI134" s="98"/>
      <c r="AJ134" s="4"/>
      <c r="AK134" s="229"/>
      <c r="AL134" s="231"/>
      <c r="AM134" s="220" t="str">
        <f>IF(AL134="DNF","DNF",IF(AL134&gt;0,AL$137/AL134*100,""))</f>
        <v/>
      </c>
      <c r="AN134" s="7"/>
      <c r="AO134" s="103"/>
      <c r="AP134" s="104"/>
      <c r="AQ134" s="105"/>
      <c r="AR134" s="58"/>
      <c r="AS134" s="7"/>
      <c r="AT134" s="9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/>
      <c r="GQ134" s="10"/>
      <c r="GR134" s="10"/>
      <c r="GS134" s="10"/>
      <c r="GT134" s="10"/>
      <c r="GU134" s="10"/>
      <c r="GV134" s="10"/>
      <c r="GW134" s="10"/>
      <c r="GX134" s="10"/>
      <c r="GY134" s="10"/>
      <c r="GZ134" s="10"/>
      <c r="HA134" s="10"/>
      <c r="HB134" s="10"/>
      <c r="HC134" s="10"/>
      <c r="HD134" s="10"/>
      <c r="HE134" s="10"/>
      <c r="HF134" s="10"/>
      <c r="HG134" s="10"/>
      <c r="HH134" s="10"/>
      <c r="HI134" s="10"/>
      <c r="HJ134" s="10"/>
      <c r="HK134" s="10"/>
      <c r="HL134" s="10"/>
      <c r="HM134" s="10"/>
      <c r="HN134" s="10"/>
      <c r="HO134" s="10"/>
      <c r="HP134" s="10"/>
      <c r="HQ134" s="10"/>
      <c r="HR134" s="10"/>
      <c r="HS134" s="10"/>
      <c r="HT134" s="10"/>
      <c r="HU134" s="10"/>
      <c r="HV134" s="10"/>
      <c r="HW134" s="10"/>
      <c r="HX134" s="10"/>
      <c r="HY134" s="10"/>
      <c r="HZ134" s="10"/>
      <c r="IA134" s="10"/>
      <c r="IB134" s="10"/>
      <c r="IC134" s="10"/>
      <c r="ID134" s="10"/>
      <c r="IE134" s="10"/>
      <c r="IF134" s="10"/>
      <c r="IG134" s="10"/>
      <c r="IH134" s="10"/>
      <c r="II134" s="10"/>
      <c r="IJ134" s="10"/>
      <c r="IK134" s="10"/>
      <c r="IL134" s="10"/>
      <c r="IM134" s="10"/>
      <c r="IN134" s="10"/>
      <c r="IO134" s="10"/>
      <c r="IP134" s="10"/>
      <c r="IQ134" s="10"/>
      <c r="IR134" s="10"/>
      <c r="IS134" s="10"/>
      <c r="IT134" s="10"/>
      <c r="IU134" s="10"/>
    </row>
    <row r="135" spans="1:255" ht="12" customHeight="1">
      <c r="A135" s="158"/>
      <c r="B135" s="157"/>
      <c r="C135" s="153" t="str">
        <f t="shared" si="116"/>
        <v/>
      </c>
      <c r="D135" s="76"/>
      <c r="E135" s="106"/>
      <c r="F135" s="76"/>
      <c r="G135" s="106"/>
      <c r="H135" s="107"/>
      <c r="I135" s="106"/>
      <c r="J135" s="128"/>
      <c r="K135" s="106"/>
      <c r="L135" s="76"/>
      <c r="M135" s="106"/>
      <c r="N135" s="78"/>
      <c r="O135" s="106"/>
      <c r="P135" s="107"/>
      <c r="Q135" s="106"/>
      <c r="R135" s="80"/>
      <c r="S135" s="106"/>
      <c r="T135" s="107"/>
      <c r="U135" s="106"/>
      <c r="V135" s="78"/>
      <c r="W135" s="106"/>
      <c r="X135" s="107"/>
      <c r="Y135" s="106"/>
      <c r="Z135" s="92"/>
      <c r="AA135" s="106"/>
      <c r="AB135" s="76"/>
      <c r="AC135" s="106"/>
      <c r="AD135" s="107"/>
      <c r="AE135" s="106"/>
      <c r="AF135" s="76"/>
      <c r="AG135" s="106"/>
      <c r="AH135" s="107"/>
      <c r="AI135" s="106"/>
      <c r="AJ135" s="76"/>
      <c r="AK135" s="106"/>
      <c r="AL135" s="221"/>
      <c r="AM135" s="183" t="str">
        <f>IF(AL135="DNF","DNF",IF(AL135&gt;0,AL$137/AL135*100,""))</f>
        <v/>
      </c>
      <c r="AN135" s="10"/>
      <c r="AO135" s="95"/>
      <c r="AP135" s="30"/>
      <c r="AQ135" s="31"/>
      <c r="AR135" s="54"/>
      <c r="AS135" s="10"/>
      <c r="AT135" s="33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  <c r="DL135" s="90"/>
      <c r="DM135" s="90"/>
      <c r="DN135" s="90"/>
      <c r="DO135" s="90"/>
      <c r="DP135" s="90"/>
      <c r="DQ135" s="90"/>
      <c r="DR135" s="90"/>
      <c r="DS135" s="90"/>
      <c r="DT135" s="90"/>
      <c r="DU135" s="90"/>
      <c r="DV135" s="90"/>
      <c r="DW135" s="90"/>
      <c r="DX135" s="90"/>
      <c r="DY135" s="90"/>
      <c r="DZ135" s="90"/>
      <c r="EA135" s="90"/>
      <c r="EB135" s="90"/>
      <c r="EC135" s="90"/>
      <c r="ED135" s="90"/>
      <c r="EE135" s="90"/>
      <c r="EF135" s="90"/>
      <c r="EG135" s="90"/>
      <c r="EH135" s="90"/>
      <c r="EI135" s="90"/>
      <c r="EJ135" s="90"/>
      <c r="EK135" s="90"/>
      <c r="EL135" s="90"/>
      <c r="EM135" s="90"/>
      <c r="EN135" s="90"/>
      <c r="EO135" s="90"/>
      <c r="EP135" s="90"/>
      <c r="EQ135" s="90"/>
      <c r="ER135" s="90"/>
      <c r="ES135" s="90"/>
      <c r="ET135" s="90"/>
      <c r="EU135" s="90"/>
      <c r="EV135" s="90"/>
      <c r="EW135" s="90"/>
      <c r="EX135" s="90"/>
      <c r="EY135" s="90"/>
      <c r="EZ135" s="90"/>
      <c r="FA135" s="90"/>
      <c r="FB135" s="90"/>
      <c r="FC135" s="90"/>
      <c r="FD135" s="90"/>
      <c r="FE135" s="90"/>
      <c r="FF135" s="90"/>
      <c r="FG135" s="90"/>
      <c r="FH135" s="90"/>
      <c r="FI135" s="90"/>
      <c r="FJ135" s="90"/>
      <c r="FK135" s="90"/>
      <c r="FL135" s="90"/>
      <c r="FM135" s="90"/>
      <c r="FN135" s="90"/>
      <c r="FO135" s="90"/>
      <c r="FP135" s="90"/>
      <c r="FQ135" s="90"/>
      <c r="FR135" s="90"/>
      <c r="FS135" s="90"/>
      <c r="FT135" s="90"/>
      <c r="FU135" s="90"/>
      <c r="FV135" s="90"/>
      <c r="FW135" s="90"/>
      <c r="FX135" s="90"/>
      <c r="FY135" s="90"/>
      <c r="FZ135" s="90"/>
      <c r="GA135" s="90"/>
      <c r="GB135" s="90"/>
      <c r="GC135" s="90"/>
      <c r="GD135" s="90"/>
      <c r="GE135" s="90"/>
      <c r="GF135" s="90"/>
      <c r="GG135" s="90"/>
      <c r="GH135" s="90"/>
      <c r="GI135" s="90"/>
      <c r="GJ135" s="90"/>
      <c r="GK135" s="90"/>
      <c r="GL135" s="90"/>
      <c r="GM135" s="90"/>
      <c r="GN135" s="90"/>
      <c r="GO135" s="90"/>
      <c r="GP135" s="90"/>
      <c r="GQ135" s="90"/>
      <c r="GR135" s="90"/>
      <c r="GS135" s="90"/>
      <c r="GT135" s="90"/>
      <c r="GU135" s="90"/>
      <c r="GV135" s="90"/>
      <c r="GW135" s="90"/>
      <c r="GX135" s="90"/>
      <c r="GY135" s="90"/>
      <c r="GZ135" s="90"/>
      <c r="HA135" s="90"/>
      <c r="HB135" s="90"/>
      <c r="HC135" s="90"/>
      <c r="HD135" s="90"/>
      <c r="HE135" s="90"/>
      <c r="HF135" s="90"/>
      <c r="HG135" s="90"/>
      <c r="HH135" s="90"/>
      <c r="HI135" s="90"/>
      <c r="HJ135" s="90"/>
      <c r="HK135" s="90"/>
      <c r="HL135" s="90"/>
      <c r="HM135" s="90"/>
      <c r="HN135" s="90"/>
      <c r="HO135" s="90"/>
      <c r="HP135" s="90"/>
      <c r="HQ135" s="90"/>
      <c r="HR135" s="90"/>
      <c r="HS135" s="90"/>
      <c r="HT135" s="90"/>
      <c r="HU135" s="90"/>
      <c r="HV135" s="90"/>
      <c r="HW135" s="90"/>
      <c r="HX135" s="90"/>
      <c r="HY135" s="90"/>
      <c r="HZ135" s="90"/>
      <c r="IA135" s="90"/>
      <c r="IB135" s="90"/>
      <c r="IC135" s="90"/>
      <c r="ID135" s="90"/>
      <c r="IE135" s="90"/>
      <c r="IF135" s="90"/>
      <c r="IG135" s="90"/>
      <c r="IH135" s="90"/>
      <c r="II135" s="90"/>
      <c r="IJ135" s="90"/>
      <c r="IK135" s="90"/>
      <c r="IL135" s="90"/>
      <c r="IM135" s="90"/>
      <c r="IN135" s="90"/>
      <c r="IO135" s="90"/>
      <c r="IP135" s="90"/>
      <c r="IQ135" s="90"/>
      <c r="IR135" s="90"/>
      <c r="IS135" s="90"/>
      <c r="IT135" s="90"/>
      <c r="IU135" s="90"/>
    </row>
    <row r="136" spans="1:255" ht="12" customHeight="1" thickBot="1">
      <c r="A136" s="60"/>
      <c r="B136" s="35"/>
      <c r="C136" s="36"/>
      <c r="D136" s="35"/>
      <c r="E136" s="36"/>
      <c r="F136" s="35"/>
      <c r="G136" s="36"/>
      <c r="H136" s="35"/>
      <c r="I136" s="36"/>
      <c r="J136" s="35"/>
      <c r="K136" s="36"/>
      <c r="L136" s="35"/>
      <c r="M136" s="36"/>
      <c r="N136" s="39"/>
      <c r="O136" s="36"/>
      <c r="P136" s="35"/>
      <c r="Q136" s="36"/>
      <c r="R136" s="6"/>
      <c r="S136" s="36"/>
      <c r="T136" s="35"/>
      <c r="U136" s="36"/>
      <c r="V136" s="39"/>
      <c r="W136" s="36"/>
      <c r="X136" s="35"/>
      <c r="Y136" s="36"/>
      <c r="Z136" s="35"/>
      <c r="AA136" s="36"/>
      <c r="AB136" s="35"/>
      <c r="AC136" s="36"/>
      <c r="AD136" s="35"/>
      <c r="AE136" s="36"/>
      <c r="AF136" s="35"/>
      <c r="AG136" s="36"/>
      <c r="AH136" s="38"/>
      <c r="AI136" s="36"/>
      <c r="AJ136" s="35"/>
      <c r="AK136" s="36"/>
      <c r="AL136" s="227"/>
      <c r="AM136" s="228" t="str">
        <f t="shared" si="115"/>
        <v/>
      </c>
      <c r="AN136" s="7"/>
      <c r="AO136" s="61"/>
      <c r="AP136" s="110"/>
      <c r="AQ136" s="111"/>
      <c r="AR136" s="8"/>
      <c r="AS136" s="7"/>
      <c r="AT136" s="9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  <c r="GP136" s="10"/>
      <c r="GQ136" s="10"/>
      <c r="GR136" s="10"/>
      <c r="GS136" s="10"/>
      <c r="GT136" s="10"/>
      <c r="GU136" s="10"/>
      <c r="GV136" s="10"/>
      <c r="GW136" s="10"/>
      <c r="GX136" s="10"/>
      <c r="GY136" s="10"/>
      <c r="GZ136" s="10"/>
      <c r="HA136" s="10"/>
      <c r="HB136" s="10"/>
      <c r="HC136" s="10"/>
      <c r="HD136" s="10"/>
      <c r="HE136" s="10"/>
      <c r="HF136" s="10"/>
      <c r="HG136" s="10"/>
      <c r="HH136" s="10"/>
      <c r="HI136" s="10"/>
      <c r="HJ136" s="10"/>
      <c r="HK136" s="10"/>
      <c r="HL136" s="10"/>
      <c r="HM136" s="10"/>
      <c r="HN136" s="10"/>
      <c r="HO136" s="10"/>
      <c r="HP136" s="10"/>
      <c r="HQ136" s="10"/>
      <c r="HR136" s="10"/>
      <c r="HS136" s="10"/>
      <c r="HT136" s="10"/>
      <c r="HU136" s="10"/>
      <c r="HV136" s="10"/>
      <c r="HW136" s="10"/>
      <c r="HX136" s="10"/>
      <c r="HY136" s="10"/>
      <c r="HZ136" s="10"/>
      <c r="IA136" s="10"/>
      <c r="IB136" s="10"/>
      <c r="IC136" s="10"/>
      <c r="ID136" s="10"/>
      <c r="IE136" s="10"/>
      <c r="IF136" s="10"/>
      <c r="IG136" s="10"/>
      <c r="IH136" s="10"/>
      <c r="II136" s="10"/>
      <c r="IJ136" s="10"/>
      <c r="IK136" s="10"/>
      <c r="IL136" s="10"/>
      <c r="IM136" s="10"/>
      <c r="IN136" s="10"/>
      <c r="IO136" s="10"/>
      <c r="IP136" s="10"/>
      <c r="IQ136" s="10"/>
      <c r="IR136" s="10"/>
      <c r="IS136" s="10"/>
      <c r="IT136" s="10"/>
      <c r="IU136" s="10"/>
    </row>
    <row r="137" spans="1:255" ht="12" customHeight="1" thickTop="1">
      <c r="A137" s="62" t="s">
        <v>50</v>
      </c>
      <c r="B137" s="24">
        <f>MIN(B121:B132)</f>
        <v>2.2609953703703702E-3</v>
      </c>
      <c r="C137" s="63"/>
      <c r="D137" s="24">
        <f>MIN(D121:D132)</f>
        <v>2.0622685185185184E-3</v>
      </c>
      <c r="E137" s="64"/>
      <c r="F137" s="24">
        <f>MIN(F121:F132)</f>
        <v>2.0626157407407407E-3</v>
      </c>
      <c r="G137" s="64"/>
      <c r="H137" s="24">
        <f>MIN(H121:H132)</f>
        <v>1.3158564814814812E-3</v>
      </c>
      <c r="I137" s="64"/>
      <c r="J137" s="24">
        <f>MIN(J121:J132)</f>
        <v>8.0405092592592594E-4</v>
      </c>
      <c r="K137" s="64"/>
      <c r="L137" s="24">
        <f>MIN(L121:L132)</f>
        <v>5.8814814814814815E-3</v>
      </c>
      <c r="M137" s="64"/>
      <c r="N137" s="27">
        <f>MAX(N121:N132)</f>
        <v>25</v>
      </c>
      <c r="O137" s="63"/>
      <c r="P137" s="24">
        <f>MIN(P121:P132)</f>
        <v>1.6076388888888889E-4</v>
      </c>
      <c r="Q137" s="64"/>
      <c r="R137" s="28">
        <f>MAX(S121:S130)</f>
        <v>100</v>
      </c>
      <c r="S137" s="64"/>
      <c r="T137" s="24">
        <f>MIN(T121:T132)</f>
        <v>1.1650462962962962E-3</v>
      </c>
      <c r="U137" s="64"/>
      <c r="V137" s="27">
        <f>MAX(V121:V132)</f>
        <v>20</v>
      </c>
      <c r="W137" s="63"/>
      <c r="X137" s="24">
        <f>MIN(X121:X132)</f>
        <v>5.2523148148148156E-4</v>
      </c>
      <c r="Y137" s="64"/>
      <c r="Z137" s="24">
        <f>MIN(Z121:Z132)</f>
        <v>7.6944444444444456E-4</v>
      </c>
      <c r="AA137" s="64"/>
      <c r="AB137" s="24">
        <f>MIN(AB121:AB132)</f>
        <v>7.6597222222222214E-4</v>
      </c>
      <c r="AC137" s="64"/>
      <c r="AD137" s="24">
        <f>MIN(AD121:AD132)</f>
        <v>1.0603009259259259E-3</v>
      </c>
      <c r="AE137" s="64"/>
      <c r="AF137" s="24">
        <f>MIN(AF121:AF132)</f>
        <v>1.0247685185185184E-3</v>
      </c>
      <c r="AG137" s="64"/>
      <c r="AH137" s="24">
        <f>MIN(AH121:AH132)</f>
        <v>1.7351851851851853E-3</v>
      </c>
      <c r="AI137" s="64"/>
      <c r="AJ137" s="24">
        <f>MIN(AJ121:AJ132)</f>
        <v>6.1574074074074081E-5</v>
      </c>
      <c r="AK137" s="64"/>
      <c r="AL137" s="205">
        <f>MIN(AL121:AL132)</f>
        <v>4.5486111111111102E-4</v>
      </c>
      <c r="AM137" s="217"/>
      <c r="AN137" s="10"/>
      <c r="AO137" s="10"/>
      <c r="AP137" s="10"/>
      <c r="AQ137" s="10"/>
      <c r="AR137" s="54"/>
      <c r="AS137" s="10"/>
      <c r="AT137" s="33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  <c r="GP137" s="10"/>
      <c r="GQ137" s="10"/>
      <c r="GR137" s="10"/>
      <c r="GS137" s="10"/>
      <c r="GT137" s="10"/>
      <c r="GU137" s="10"/>
      <c r="GV137" s="10"/>
      <c r="GW137" s="10"/>
      <c r="GX137" s="10"/>
      <c r="GY137" s="10"/>
      <c r="GZ137" s="10"/>
      <c r="HA137" s="10"/>
      <c r="HB137" s="10"/>
      <c r="HC137" s="10"/>
      <c r="HD137" s="10"/>
      <c r="HE137" s="10"/>
      <c r="HF137" s="10"/>
      <c r="HG137" s="10"/>
      <c r="HH137" s="10"/>
      <c r="HI137" s="10"/>
      <c r="HJ137" s="10"/>
      <c r="HK137" s="10"/>
      <c r="HL137" s="10"/>
      <c r="HM137" s="10"/>
      <c r="HN137" s="10"/>
      <c r="HO137" s="10"/>
      <c r="HP137" s="10"/>
      <c r="HQ137" s="10"/>
      <c r="HR137" s="10"/>
      <c r="HS137" s="10"/>
      <c r="HT137" s="10"/>
      <c r="HU137" s="10"/>
      <c r="HV137" s="10"/>
      <c r="HW137" s="10"/>
      <c r="HX137" s="10"/>
      <c r="HY137" s="10"/>
      <c r="HZ137" s="10"/>
      <c r="IA137" s="10"/>
      <c r="IB137" s="10"/>
      <c r="IC137" s="10"/>
      <c r="ID137" s="10"/>
      <c r="IE137" s="10"/>
      <c r="IF137" s="10"/>
      <c r="IG137" s="10"/>
      <c r="IH137" s="10"/>
      <c r="II137" s="10"/>
      <c r="IJ137" s="10"/>
      <c r="IK137" s="10"/>
      <c r="IL137" s="10"/>
      <c r="IM137" s="10"/>
      <c r="IN137" s="10"/>
      <c r="IO137" s="10"/>
      <c r="IP137" s="10"/>
      <c r="IQ137" s="10"/>
      <c r="IR137" s="10"/>
      <c r="IS137" s="10"/>
      <c r="IT137" s="10"/>
      <c r="IU137" s="10"/>
    </row>
    <row r="138" spans="1:255" ht="12" customHeight="1">
      <c r="A138" s="65" t="s">
        <v>38</v>
      </c>
      <c r="B138" s="2" t="str">
        <f t="array" ref="B138">INDEX($A$121:$A$132, MATCH(B139,B121:B132,0))</f>
        <v>Paul Smiths</v>
      </c>
      <c r="C138" s="3"/>
      <c r="D138" s="2" t="str">
        <f t="array" ref="D138">INDEX($A$121:$A$132, MATCH(D139,D121:D132,0))</f>
        <v>Alfred</v>
      </c>
      <c r="E138" s="3"/>
      <c r="F138" s="2" t="str">
        <f t="array" ref="F138">INDEX($A$121:$A$132, MATCH(F139,F121:F132,0))</f>
        <v>Dartmouth A</v>
      </c>
      <c r="G138" s="3"/>
      <c r="H138" s="2" t="str">
        <f t="array" ref="H138">INDEX($A$121:$A$132, MATCH(H139,H121:H132,0))</f>
        <v>Paul Smiths</v>
      </c>
      <c r="I138" s="3"/>
      <c r="J138" s="2" t="str">
        <f t="array" ref="J138">INDEX($A$121:$A$132, MATCH(J139,J121:J132,0))</f>
        <v>Paul Smiths</v>
      </c>
      <c r="K138" s="3"/>
      <c r="L138" s="2" t="str">
        <f t="array" ref="L138">INDEX($A$121:$A$132, MATCH(L139,L121:L132,0))</f>
        <v>Cobleskill</v>
      </c>
      <c r="M138" s="3"/>
      <c r="N138" s="2" t="str">
        <f>INDEX($A$121:$A$132, MATCH(N139,N121:N132,0))</f>
        <v>Morrisville</v>
      </c>
      <c r="O138" s="3"/>
      <c r="P138" s="2" t="str">
        <f t="array" ref="P138">INDEX($A$121:$A$132, MATCH(P139,P121:P132,0))</f>
        <v>UVM</v>
      </c>
      <c r="Q138" s="3"/>
      <c r="R138" s="2" t="str">
        <f t="array" ref="R138">INDEX($A$121:$A$132, MATCH(R139,S121:S132,0))</f>
        <v>UVM</v>
      </c>
      <c r="S138" s="3"/>
      <c r="T138" s="2" t="str">
        <f t="array" ref="T138">INDEX($A$121:$A$132, MATCH(T139,T121:T132,0))</f>
        <v>Dartmouth A</v>
      </c>
      <c r="U138" s="3"/>
      <c r="V138" s="2" t="str">
        <f t="array" ref="V138">INDEX($A$121:$A$132, MATCH(V139,V121:V132,0))</f>
        <v>UVM</v>
      </c>
      <c r="W138" s="3"/>
      <c r="X138" s="2" t="str">
        <f t="array" ref="X138">INDEX($A$121:$A$132, MATCH(X139,X121:X132,0))</f>
        <v>Morrisville</v>
      </c>
      <c r="Y138" s="3"/>
      <c r="Z138" s="2" t="str">
        <f t="array" ref="Z138">INDEX($A$121:$A$132, MATCH(Z139,Z121:Z132,0))</f>
        <v>Dartmouth A</v>
      </c>
      <c r="AA138" s="3"/>
      <c r="AB138" s="2" t="str">
        <f t="array" ref="AB138">INDEX($A$121:$A$132, MATCH(AB139,AB121:AB132,0))</f>
        <v>Alfred</v>
      </c>
      <c r="AC138" s="3" t="s">
        <v>69</v>
      </c>
      <c r="AD138" s="2" t="str">
        <f t="array" ref="AD138">INDEX($A$121:$A$132, MATCH(AD139,AD121:AD132,0))</f>
        <v>Paul Smiths</v>
      </c>
      <c r="AE138" s="3"/>
      <c r="AF138" s="2" t="str">
        <f t="array" ref="AF138">INDEX($A$121:$A$132, MATCH(AF139,AF121:AF132,0))</f>
        <v>Paul Smiths</v>
      </c>
      <c r="AG138" s="3"/>
      <c r="AH138" s="2" t="str">
        <f t="array" ref="AH138">INDEX($A$121:$A$132, MATCH(AH139,AH121:AH132,0))</f>
        <v>Morrisville</v>
      </c>
      <c r="AI138" s="3"/>
      <c r="AJ138" s="2" t="str">
        <f t="array" ref="AJ138">INDEX($A$121:$A$132, MATCH(AJ139,AJ121:AJ132,0))</f>
        <v>Paul Smiths</v>
      </c>
      <c r="AK138" s="3"/>
      <c r="AL138" s="189" t="str">
        <f>INDEX($A$121:$A$133, MATCH(AL139,AL121:AL133,0))</f>
        <v>Paul Smiths</v>
      </c>
      <c r="AM138" s="184"/>
      <c r="AN138" s="7"/>
      <c r="AO138" s="7"/>
      <c r="AP138" s="7"/>
      <c r="AQ138" s="7"/>
      <c r="AR138" s="58"/>
      <c r="AS138" s="7"/>
      <c r="AT138" s="9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  <c r="GP138" s="10"/>
      <c r="GQ138" s="10"/>
      <c r="GR138" s="10"/>
      <c r="GS138" s="10"/>
      <c r="GT138" s="10"/>
      <c r="GU138" s="10"/>
      <c r="GV138" s="10"/>
      <c r="GW138" s="10"/>
      <c r="GX138" s="10"/>
      <c r="GY138" s="10"/>
      <c r="GZ138" s="10"/>
      <c r="HA138" s="10"/>
      <c r="HB138" s="10"/>
      <c r="HC138" s="10"/>
      <c r="HD138" s="10"/>
      <c r="HE138" s="10"/>
      <c r="HF138" s="10"/>
      <c r="HG138" s="10"/>
      <c r="HH138" s="10"/>
      <c r="HI138" s="10"/>
      <c r="HJ138" s="10"/>
      <c r="HK138" s="10"/>
      <c r="HL138" s="10"/>
      <c r="HM138" s="10"/>
      <c r="HN138" s="10"/>
      <c r="HO138" s="10"/>
      <c r="HP138" s="10"/>
      <c r="HQ138" s="10"/>
      <c r="HR138" s="10"/>
      <c r="HS138" s="10"/>
      <c r="HT138" s="10"/>
      <c r="HU138" s="10"/>
      <c r="HV138" s="10"/>
      <c r="HW138" s="10"/>
      <c r="HX138" s="10"/>
      <c r="HY138" s="10"/>
      <c r="HZ138" s="10"/>
      <c r="IA138" s="10"/>
      <c r="IB138" s="10"/>
      <c r="IC138" s="10"/>
      <c r="ID138" s="10"/>
      <c r="IE138" s="10"/>
      <c r="IF138" s="10"/>
      <c r="IG138" s="10"/>
      <c r="IH138" s="10"/>
      <c r="II138" s="10"/>
      <c r="IJ138" s="10"/>
      <c r="IK138" s="10"/>
      <c r="IL138" s="10"/>
      <c r="IM138" s="10"/>
      <c r="IN138" s="10"/>
      <c r="IO138" s="10"/>
      <c r="IP138" s="10"/>
      <c r="IQ138" s="10"/>
      <c r="IR138" s="10"/>
      <c r="IS138" s="10"/>
      <c r="IT138" s="10"/>
      <c r="IU138" s="10"/>
    </row>
    <row r="139" spans="1:255" ht="12" customHeight="1">
      <c r="A139" s="67" t="s">
        <v>39</v>
      </c>
      <c r="B139" s="15">
        <f>SMALL(B121:B132,1)</f>
        <v>2.2609953703703702E-3</v>
      </c>
      <c r="C139" s="69"/>
      <c r="D139" s="15">
        <f>SMALL(D121:D132,1)</f>
        <v>2.0622685185185184E-3</v>
      </c>
      <c r="E139" s="69"/>
      <c r="F139" s="15">
        <f>SMALL(F121:F132,1)</f>
        <v>2.0626157407407407E-3</v>
      </c>
      <c r="G139" s="69"/>
      <c r="H139" s="15">
        <f>SMALL(H121:H132,1)</f>
        <v>1.3158564814814812E-3</v>
      </c>
      <c r="I139" s="69"/>
      <c r="J139" s="15">
        <f>SMALL(J121:J132,1)</f>
        <v>8.0405092592592594E-4</v>
      </c>
      <c r="K139" s="69"/>
      <c r="L139" s="15">
        <f>SMALL(L121:L132,1)</f>
        <v>5.8814814814814815E-3</v>
      </c>
      <c r="M139" s="69"/>
      <c r="N139" s="16">
        <f>LARGE(N121:N132,1)</f>
        <v>25</v>
      </c>
      <c r="O139" s="69"/>
      <c r="P139" s="15">
        <f>SMALL(P121:P132,1)</f>
        <v>1.6076388888888889E-4</v>
      </c>
      <c r="Q139" s="69"/>
      <c r="R139" s="12">
        <f>LARGE(S121:S127,1)</f>
        <v>100</v>
      </c>
      <c r="S139" s="69"/>
      <c r="T139" s="15">
        <f>SMALL(T121:T132,1)</f>
        <v>1.1650462962962962E-3</v>
      </c>
      <c r="U139" s="69"/>
      <c r="V139" s="16">
        <f>LARGE(V121:V132,1)</f>
        <v>20</v>
      </c>
      <c r="W139" s="69"/>
      <c r="X139" s="15">
        <f>SMALL(X121:X132,1)</f>
        <v>5.2523148148148156E-4</v>
      </c>
      <c r="Y139" s="69"/>
      <c r="Z139" s="15">
        <f>SMALL(Z121:Z132,1)</f>
        <v>7.6944444444444456E-4</v>
      </c>
      <c r="AA139" s="69"/>
      <c r="AB139" s="15">
        <f>SMALL(AB121:AB132,1)</f>
        <v>7.6597222222222214E-4</v>
      </c>
      <c r="AC139" s="69"/>
      <c r="AD139" s="15">
        <f>SMALL(AD121:AD132,1)</f>
        <v>1.0603009259259259E-3</v>
      </c>
      <c r="AE139" s="69"/>
      <c r="AF139" s="15">
        <f>SMALL(AF121:AF132,1)</f>
        <v>1.0247685185185184E-3</v>
      </c>
      <c r="AG139" s="69"/>
      <c r="AH139" s="15">
        <f>SMALL(AH121:AH132,1)</f>
        <v>1.7351851851851853E-3</v>
      </c>
      <c r="AI139" s="69"/>
      <c r="AJ139" s="15">
        <f>SMALL(AJ121:AJ132,1)</f>
        <v>6.1574074074074081E-5</v>
      </c>
      <c r="AK139" s="69"/>
      <c r="AL139" s="15">
        <f>SMALL(AL121:AL133,1)</f>
        <v>4.5486111111111102E-4</v>
      </c>
      <c r="AM139" s="185"/>
      <c r="AN139" s="7"/>
      <c r="AO139" s="7"/>
      <c r="AP139" s="7"/>
      <c r="AQ139" s="7"/>
      <c r="AR139" s="58"/>
      <c r="AS139" s="7"/>
      <c r="AT139" s="9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  <c r="GP139" s="10"/>
      <c r="GQ139" s="10"/>
      <c r="GR139" s="10"/>
      <c r="GS139" s="10"/>
      <c r="GT139" s="10"/>
      <c r="GU139" s="10"/>
      <c r="GV139" s="10"/>
      <c r="GW139" s="10"/>
      <c r="GX139" s="10"/>
      <c r="GY139" s="10"/>
      <c r="GZ139" s="10"/>
      <c r="HA139" s="10"/>
      <c r="HB139" s="10"/>
      <c r="HC139" s="10"/>
      <c r="HD139" s="10"/>
      <c r="HE139" s="10"/>
      <c r="HF139" s="10"/>
      <c r="HG139" s="10"/>
      <c r="HH139" s="10"/>
      <c r="HI139" s="10"/>
      <c r="HJ139" s="10"/>
      <c r="HK139" s="10"/>
      <c r="HL139" s="10"/>
      <c r="HM139" s="10"/>
      <c r="HN139" s="10"/>
      <c r="HO139" s="10"/>
      <c r="HP139" s="10"/>
      <c r="HQ139" s="10"/>
      <c r="HR139" s="10"/>
      <c r="HS139" s="10"/>
      <c r="HT139" s="10"/>
      <c r="HU139" s="10"/>
      <c r="HV139" s="10"/>
      <c r="HW139" s="10"/>
      <c r="HX139" s="10"/>
      <c r="HY139" s="10"/>
      <c r="HZ139" s="10"/>
      <c r="IA139" s="10"/>
      <c r="IB139" s="10"/>
      <c r="IC139" s="10"/>
      <c r="ID139" s="10"/>
      <c r="IE139" s="10"/>
      <c r="IF139" s="10"/>
      <c r="IG139" s="10"/>
      <c r="IH139" s="10"/>
      <c r="II139" s="10"/>
      <c r="IJ139" s="10"/>
      <c r="IK139" s="10"/>
      <c r="IL139" s="10"/>
      <c r="IM139" s="10"/>
      <c r="IN139" s="10"/>
      <c r="IO139" s="10"/>
      <c r="IP139" s="10"/>
      <c r="IQ139" s="10"/>
      <c r="IR139" s="10"/>
      <c r="IS139" s="10"/>
      <c r="IT139" s="10"/>
      <c r="IU139" s="10"/>
    </row>
    <row r="140" spans="1:255" ht="12" customHeight="1">
      <c r="A140" s="70" t="s">
        <v>40</v>
      </c>
      <c r="B140" s="71" t="str">
        <f t="array" ref="B140">INDEX($A$121:$A$132, MATCH(B141,B121:B132,0))</f>
        <v>Cobleskill</v>
      </c>
      <c r="C140" s="73"/>
      <c r="D140" s="71" t="str">
        <f t="array" ref="D140">INDEX($A$121:$A$132, MATCH(D141,D121:D132,0))</f>
        <v>Cobleskill</v>
      </c>
      <c r="E140" s="73"/>
      <c r="F140" s="71" t="str">
        <f t="array" ref="F140">INDEX($A$121:$A$132, MATCH(F141,F121:F132,0))</f>
        <v>Dartmouth B</v>
      </c>
      <c r="G140" s="73"/>
      <c r="H140" s="71" t="str">
        <f t="array" ref="H140">INDEX($A$121:$A$132, MATCH(H141,H121:H132,0))</f>
        <v>Cobleskill</v>
      </c>
      <c r="I140" s="73"/>
      <c r="J140" s="71" t="str">
        <f t="array" ref="J140">INDEX($A$121:$A$132, MATCH(J141,J121:J132,0))</f>
        <v>Alfred</v>
      </c>
      <c r="K140" s="73"/>
      <c r="L140" s="71" t="str">
        <f t="array" ref="L140">INDEX($A$121:$A$132, MATCH(L141,L121:L132,0))</f>
        <v>Morrisville</v>
      </c>
      <c r="M140" s="73"/>
      <c r="N140" s="71" t="str">
        <f>INDEX($A$121:$A$132, MATCH(N141,N121:N132,0))</f>
        <v>UVM</v>
      </c>
      <c r="O140" s="73"/>
      <c r="P140" s="71" t="str">
        <f t="array" ref="P140">INDEX($A$121:$A$132, MATCH(P141,P121:P132,0))</f>
        <v>Cobleskill</v>
      </c>
      <c r="Q140" s="73"/>
      <c r="R140" s="71" t="str">
        <f t="array" ref="R140">INDEX($A$121:$A$132, MATCH(R141,S121:S132,0))</f>
        <v>Paul Smiths</v>
      </c>
      <c r="S140" s="73"/>
      <c r="T140" s="71" t="str">
        <f t="array" ref="T140">INDEX($A$121:$A$132, MATCH(T141,T121:T132,0))</f>
        <v>UVM</v>
      </c>
      <c r="U140" s="73"/>
      <c r="V140" s="71" t="str">
        <f t="array" ref="V140">INDEX($A$121:$A$132, MATCH(V141,V121:V132,0))</f>
        <v>Alfred</v>
      </c>
      <c r="W140" s="73" t="s">
        <v>69</v>
      </c>
      <c r="X140" s="71" t="str">
        <f t="array" ref="X140">INDEX($A$121:$A$132, MATCH(X141,X121:X132,0))</f>
        <v>Cobleskill</v>
      </c>
      <c r="Y140" s="73"/>
      <c r="Z140" s="71" t="str">
        <f t="array" ref="Z140">INDEX($A$121:$A$132, MATCH(Z141,Z121:Z132,0))</f>
        <v>Morrisville</v>
      </c>
      <c r="AA140" s="73"/>
      <c r="AB140" s="71" t="str">
        <f t="array" ref="AB140">INDEX($A$121:$A$132, MATCH(AB141,AB121:AB132,0))</f>
        <v>Dartmouth A</v>
      </c>
      <c r="AC140" s="73" t="s">
        <v>69</v>
      </c>
      <c r="AD140" s="71" t="str">
        <f t="array" ref="AD140">INDEX($A$121:$A$132, MATCH(AD141,AD121:AD132,0))</f>
        <v>Dartmouth A</v>
      </c>
      <c r="AE140" s="73"/>
      <c r="AF140" s="71" t="str">
        <f t="array" ref="AF140">INDEX($A$121:$A$132, MATCH(AF141,AF121:AF132,0))</f>
        <v>Alfred</v>
      </c>
      <c r="AG140" s="73"/>
      <c r="AH140" s="71" t="str">
        <f t="array" ref="AH140">INDEX($A$121:$A$132, MATCH(AH141,AH121:AH132,0))</f>
        <v>UVM</v>
      </c>
      <c r="AI140" s="73"/>
      <c r="AJ140" s="71" t="str">
        <f t="array" ref="AJ140">INDEX($A$121:$A$132, MATCH(AJ141,AJ121:AJ132,0))</f>
        <v>Dartmouth A</v>
      </c>
      <c r="AK140" s="73"/>
      <c r="AL140" s="271" t="str">
        <f>INDEX($A$121:$A$133, MATCH(AL141,AL121:AL133,0))</f>
        <v>Cobleskill</v>
      </c>
      <c r="AM140" s="187"/>
      <c r="AN140" s="10"/>
      <c r="AO140" s="10"/>
      <c r="AP140" s="10"/>
      <c r="AQ140" s="10"/>
      <c r="AR140" s="74"/>
      <c r="AS140" s="10"/>
      <c r="AT140" s="33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  <c r="GP140" s="10"/>
      <c r="GQ140" s="10"/>
      <c r="GR140" s="10"/>
      <c r="GS140" s="10"/>
      <c r="GT140" s="10"/>
      <c r="GU140" s="10"/>
      <c r="GV140" s="10"/>
      <c r="GW140" s="10"/>
      <c r="GX140" s="10"/>
      <c r="GY140" s="10"/>
      <c r="GZ140" s="10"/>
      <c r="HA140" s="10"/>
      <c r="HB140" s="10"/>
      <c r="HC140" s="10"/>
      <c r="HD140" s="10"/>
      <c r="HE140" s="10"/>
      <c r="HF140" s="10"/>
      <c r="HG140" s="10"/>
      <c r="HH140" s="10"/>
      <c r="HI140" s="10"/>
      <c r="HJ140" s="10"/>
      <c r="HK140" s="10"/>
      <c r="HL140" s="10"/>
      <c r="HM140" s="10"/>
      <c r="HN140" s="10"/>
      <c r="HO140" s="10"/>
      <c r="HP140" s="10"/>
      <c r="HQ140" s="10"/>
      <c r="HR140" s="10"/>
      <c r="HS140" s="10"/>
      <c r="HT140" s="10"/>
      <c r="HU140" s="10"/>
      <c r="HV140" s="10"/>
      <c r="HW140" s="10"/>
      <c r="HX140" s="10"/>
      <c r="HY140" s="10"/>
      <c r="HZ140" s="10"/>
      <c r="IA140" s="10"/>
      <c r="IB140" s="10"/>
      <c r="IC140" s="10"/>
      <c r="ID140" s="10"/>
      <c r="IE140" s="10"/>
      <c r="IF140" s="10"/>
      <c r="IG140" s="10"/>
      <c r="IH140" s="10"/>
      <c r="II140" s="10"/>
      <c r="IJ140" s="10"/>
      <c r="IK140" s="10"/>
      <c r="IL140" s="10"/>
      <c r="IM140" s="10"/>
      <c r="IN140" s="10"/>
      <c r="IO140" s="10"/>
      <c r="IP140" s="10"/>
      <c r="IQ140" s="10"/>
      <c r="IR140" s="10"/>
      <c r="IS140" s="10"/>
      <c r="IT140" s="10"/>
      <c r="IU140" s="10"/>
    </row>
    <row r="141" spans="1:255" ht="12" customHeight="1">
      <c r="A141" s="75" t="s">
        <v>39</v>
      </c>
      <c r="B141" s="76">
        <f>SMALL(B121:B132,2)</f>
        <v>2.299074074074074E-3</v>
      </c>
      <c r="C141" s="79"/>
      <c r="D141" s="76">
        <f>SMALL(D121:D132,2)</f>
        <v>2.1017361111111111E-3</v>
      </c>
      <c r="E141" s="79"/>
      <c r="F141" s="76">
        <f>SMALL(F121:F132,2)</f>
        <v>2.2765046296296296E-3</v>
      </c>
      <c r="G141" s="79"/>
      <c r="H141" s="76">
        <f>SMALL(H121:H132,2)</f>
        <v>1.316898148148148E-3</v>
      </c>
      <c r="I141" s="79"/>
      <c r="J141" s="76">
        <f>SMALL(J121:J132,2)</f>
        <v>8.2031249999999997E-4</v>
      </c>
      <c r="K141" s="79"/>
      <c r="L141" s="76">
        <f>SMALL(L121:L132,2)</f>
        <v>6.7083912037037034E-3</v>
      </c>
      <c r="M141" s="79"/>
      <c r="N141" s="78">
        <f>LARGE(N121:N132,2)</f>
        <v>21</v>
      </c>
      <c r="O141" s="79"/>
      <c r="P141" s="76">
        <f>SMALL(P121:P132,2)</f>
        <v>1.8090277777777777E-4</v>
      </c>
      <c r="Q141" s="79"/>
      <c r="R141" s="80">
        <f>LARGE(S121:S127,2)</f>
        <v>90</v>
      </c>
      <c r="S141" s="79"/>
      <c r="T141" s="76">
        <f>SMALL(T121:T132,2)</f>
        <v>1.5090277777777778E-3</v>
      </c>
      <c r="U141" s="79"/>
      <c r="V141" s="78">
        <f>LARGE(V121:V132,2)</f>
        <v>19</v>
      </c>
      <c r="W141" s="79"/>
      <c r="X141" s="76">
        <f>SMALL(X121:X132,2)</f>
        <v>8.3240740740740725E-4</v>
      </c>
      <c r="Y141" s="79"/>
      <c r="Z141" s="76">
        <f>SMALL(Z121:Z132,2)</f>
        <v>8.2893518518518516E-4</v>
      </c>
      <c r="AA141" s="79"/>
      <c r="AB141" s="76">
        <f>SMALL(AB121:AB132,2)</f>
        <v>7.6608796296296288E-4</v>
      </c>
      <c r="AC141" s="79"/>
      <c r="AD141" s="76">
        <f>SMALL(AD121:AD132,2)</f>
        <v>1.1306712962962961E-3</v>
      </c>
      <c r="AE141" s="79"/>
      <c r="AF141" s="76">
        <f>SMALL(AF121:AF132,2)</f>
        <v>1.0689814814814815E-3</v>
      </c>
      <c r="AG141" s="79"/>
      <c r="AH141" s="76">
        <f>SMALL(AH121:AH132,2)</f>
        <v>1.8193287037037034E-3</v>
      </c>
      <c r="AI141" s="79"/>
      <c r="AJ141" s="76">
        <f>SMALL(AJ121:AJ132,2)</f>
        <v>8.5763888888888899E-5</v>
      </c>
      <c r="AK141" s="79"/>
      <c r="AL141" s="272">
        <f>SMALL(AL121:AL133,2)</f>
        <v>4.7407407407407402E-4</v>
      </c>
      <c r="AM141" s="188"/>
      <c r="AN141" s="10"/>
      <c r="AO141" s="10"/>
      <c r="AP141" s="10"/>
      <c r="AQ141" s="10"/>
      <c r="AR141" s="74"/>
      <c r="AS141" s="10"/>
      <c r="AT141" s="33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</row>
    <row r="142" spans="1:255" ht="12" customHeight="1">
      <c r="A142" s="65" t="s">
        <v>41</v>
      </c>
      <c r="B142" s="2" t="str">
        <f t="array" ref="B142">INDEX($A$121:$A$132, MATCH(B143,B121:B132,0))</f>
        <v>UVM</v>
      </c>
      <c r="C142" s="3"/>
      <c r="D142" s="2" t="str">
        <f t="array" ref="D142">INDEX($A$121:$A$132, MATCH(D143,D121:D132,0))</f>
        <v>Paul Smiths</v>
      </c>
      <c r="E142" s="3"/>
      <c r="F142" s="2" t="str">
        <f t="array" ref="F142">INDEX($A$121:$A$132, MATCH(F143,F121:F132,0))</f>
        <v>Morrisville</v>
      </c>
      <c r="G142" s="3"/>
      <c r="H142" s="2" t="str">
        <f t="array" ref="H142">INDEX($A$121:$A$132, MATCH(H143,H121:H132,0))</f>
        <v>Alfred</v>
      </c>
      <c r="I142" s="3"/>
      <c r="J142" s="2" t="str">
        <f t="array" ref="J142">INDEX($A$121:$A$132, MATCH(J143,J121:J132,0))</f>
        <v>Cobleskill</v>
      </c>
      <c r="K142" s="3"/>
      <c r="L142" s="2" t="str">
        <f t="array" ref="L142">INDEX($A$121:$A$132, MATCH(L143,L121:L132,0))</f>
        <v>Dartmouth B</v>
      </c>
      <c r="M142" s="3"/>
      <c r="N142" s="273" t="str">
        <f>INDEX($A$121:$A$132, MATCH(N143,N121:N132,0))</f>
        <v>Dartmouth A</v>
      </c>
      <c r="O142" s="3"/>
      <c r="P142" s="2" t="str">
        <f t="array" ref="P142">INDEX($A$121:$A$132, MATCH(P143,P121:P132,0))</f>
        <v>Dartmouth A</v>
      </c>
      <c r="Q142" s="3"/>
      <c r="R142" s="2" t="str">
        <f t="array" ref="R142">INDEX($A$121:$A$132, MATCH(R143,S121:S132,0))</f>
        <v>Cobleskill</v>
      </c>
      <c r="S142" s="3"/>
      <c r="T142" s="2" t="str">
        <f t="array" ref="T142">INDEX($A$121:$A$132, MATCH(T143,T121:T132,0))</f>
        <v>Paul Smiths</v>
      </c>
      <c r="U142" s="3"/>
      <c r="V142" s="2" t="s">
        <v>31</v>
      </c>
      <c r="W142" s="3" t="s">
        <v>69</v>
      </c>
      <c r="X142" s="2" t="str">
        <f t="array" ref="X142">INDEX($A$121:$A$132, MATCH(X143,X121:X132,0))</f>
        <v>UConn</v>
      </c>
      <c r="Y142" s="3"/>
      <c r="Z142" s="2" t="str">
        <f t="array" ref="Z142">INDEX($A$121:$A$132, MATCH(Z143,Z121:Z132,0))</f>
        <v>Cobleskill</v>
      </c>
      <c r="AA142" s="3"/>
      <c r="AB142" s="2" t="str">
        <f t="array" ref="AB142">INDEX($A$121:$A$132, MATCH(AB143,AB121:AB132,0))</f>
        <v>Cobleskill</v>
      </c>
      <c r="AC142" s="3"/>
      <c r="AD142" s="2" t="str">
        <f t="array" ref="AD142">INDEX($A$121:$A$132, MATCH(AD143,AD121:AD132,0))</f>
        <v>Cobleskill</v>
      </c>
      <c r="AE142" s="3"/>
      <c r="AF142" s="2" t="str">
        <f t="array" ref="AF142">INDEX($A$121:$A$132, MATCH(AF143,AF121:AF132,0))</f>
        <v>Morrisville</v>
      </c>
      <c r="AG142" s="3"/>
      <c r="AH142" s="2" t="str">
        <f t="array" ref="AH142">INDEX($A$121:$A$132, MATCH(AH143,AH121:AH132,0))</f>
        <v>Ranger</v>
      </c>
      <c r="AI142" s="3"/>
      <c r="AJ142" s="2" t="str">
        <f t="array" ref="AJ142">INDEX($A$121:$A$132, MATCH(AJ143,AJ121:AJ132,0))</f>
        <v>Cobleskill</v>
      </c>
      <c r="AK142" s="3"/>
      <c r="AL142" s="189" t="str">
        <f>INDEX($A$121:$A$133, MATCH(AL143,AL121:AL133,0))</f>
        <v>Alfred</v>
      </c>
      <c r="AM142" s="184"/>
      <c r="AN142" s="7"/>
      <c r="AO142" s="7"/>
      <c r="AP142" s="7"/>
      <c r="AQ142" s="7"/>
      <c r="AR142" s="8"/>
      <c r="AS142" s="7"/>
      <c r="AT142" s="9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</row>
    <row r="143" spans="1:255" ht="12" customHeight="1">
      <c r="A143" s="67" t="s">
        <v>39</v>
      </c>
      <c r="B143" s="15">
        <f>SMALL(B121:B132,3)</f>
        <v>2.3457175925925924E-3</v>
      </c>
      <c r="C143" s="69"/>
      <c r="D143" s="15">
        <f>SMALL(D121:D132,3)</f>
        <v>2.2276620370370371E-3</v>
      </c>
      <c r="E143" s="69"/>
      <c r="F143" s="15">
        <f>SMALL(F121:F132,3)</f>
        <v>2.449537037037037E-3</v>
      </c>
      <c r="G143" s="69"/>
      <c r="H143" s="15">
        <f>SMALL(H121:H132,3)</f>
        <v>1.3918981481481482E-3</v>
      </c>
      <c r="I143" s="69"/>
      <c r="J143" s="15">
        <f>SMALL(J121:J132,3)</f>
        <v>8.2210648148148139E-4</v>
      </c>
      <c r="K143" s="69"/>
      <c r="L143" s="15">
        <f>SMALL(L121:L132,3)</f>
        <v>6.7606481481481476E-3</v>
      </c>
      <c r="M143" s="69"/>
      <c r="N143" s="274">
        <f>LARGE(N121:N132,3)</f>
        <v>19</v>
      </c>
      <c r="O143" s="69"/>
      <c r="P143" s="15">
        <f>SMALL(P121:P132,3)</f>
        <v>1.8321759259259257E-4</v>
      </c>
      <c r="Q143" s="69"/>
      <c r="R143" s="12">
        <f>LARGE(S121:S130,3)</f>
        <v>85</v>
      </c>
      <c r="S143" s="69"/>
      <c r="T143" s="15">
        <f>SMALL(T121:T132,3)</f>
        <v>1.8032407407407407E-3</v>
      </c>
      <c r="U143" s="69"/>
      <c r="V143" s="16">
        <f>LARGE(V121:V132,3)</f>
        <v>19</v>
      </c>
      <c r="W143" s="69"/>
      <c r="X143" s="15">
        <f>SMALL(X121:X132,3)</f>
        <v>1.2369212962962963E-3</v>
      </c>
      <c r="Y143" s="69"/>
      <c r="Z143" s="15">
        <f>SMALL(Z121:Z132,3)</f>
        <v>8.6203703703703703E-4</v>
      </c>
      <c r="AA143" s="69"/>
      <c r="AB143" s="15">
        <f>SMALL(AB121:AB132,3)</f>
        <v>8.4270833333333333E-4</v>
      </c>
      <c r="AC143" s="69"/>
      <c r="AD143" s="15">
        <f>SMALL(AD121:AD132,3)</f>
        <v>1.1321759259259258E-3</v>
      </c>
      <c r="AE143" s="69"/>
      <c r="AF143" s="15">
        <f>SMALL(AF121:AF132,3)</f>
        <v>1.3172453703703705E-3</v>
      </c>
      <c r="AG143" s="69"/>
      <c r="AH143" s="15">
        <f>SMALL(AH121:AH132,3)</f>
        <v>1.9256944444444445E-3</v>
      </c>
      <c r="AI143" s="69"/>
      <c r="AJ143" s="15">
        <f>SMALL(AJ121:AJ132,3)</f>
        <v>8.6111111111111119E-5</v>
      </c>
      <c r="AK143" s="69"/>
      <c r="AL143" s="15">
        <f>SMALL(AL121:AL133,3)</f>
        <v>5.7916666666666663E-4</v>
      </c>
      <c r="AM143" s="185"/>
      <c r="AN143" s="7"/>
      <c r="AO143" s="7"/>
      <c r="AP143" s="7"/>
      <c r="AQ143" s="7"/>
      <c r="AR143" s="8"/>
      <c r="AS143" s="7"/>
      <c r="AT143" s="9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</row>
    <row r="144" spans="1:255" ht="12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85"/>
      <c r="M144" s="10"/>
      <c r="N144" s="10"/>
      <c r="O144" s="10"/>
      <c r="P144" s="47"/>
      <c r="Q144" s="10"/>
      <c r="R144" s="10"/>
      <c r="S144" s="10"/>
      <c r="T144" s="10"/>
      <c r="U144" s="10"/>
      <c r="V144" s="53"/>
      <c r="W144" s="10"/>
      <c r="X144" s="47"/>
      <c r="Y144" s="10"/>
      <c r="Z144" s="85"/>
      <c r="AA144" s="10"/>
      <c r="AB144" s="47"/>
      <c r="AC144" s="10"/>
      <c r="AD144" s="47"/>
      <c r="AE144" s="10"/>
      <c r="AF144" s="47"/>
      <c r="AG144" s="10"/>
      <c r="AH144" s="10"/>
      <c r="AI144" s="10"/>
      <c r="AJ144" s="47"/>
      <c r="AK144" s="10"/>
      <c r="AL144" s="10"/>
      <c r="AM144" s="10"/>
      <c r="AN144" s="10"/>
      <c r="AO144" s="10"/>
      <c r="AP144" s="10"/>
      <c r="AQ144" s="53"/>
      <c r="AR144" s="74"/>
      <c r="AS144" s="10"/>
      <c r="AT144" s="33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</row>
    <row r="145" spans="1:257" ht="12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85"/>
      <c r="M145" s="10"/>
      <c r="N145" s="10"/>
      <c r="O145" s="10"/>
      <c r="P145" s="47"/>
      <c r="Q145" s="10"/>
      <c r="R145" s="10"/>
      <c r="S145" s="10"/>
      <c r="T145" s="10"/>
      <c r="U145" s="10"/>
      <c r="V145" s="53"/>
      <c r="W145" s="10"/>
      <c r="X145" s="47"/>
      <c r="Y145" s="10"/>
      <c r="Z145" s="85"/>
      <c r="AA145" s="10"/>
      <c r="AB145" s="47"/>
      <c r="AC145" s="10"/>
      <c r="AD145" s="47"/>
      <c r="AE145" s="10"/>
      <c r="AF145" s="47"/>
      <c r="AG145" s="10"/>
      <c r="AH145" s="10"/>
      <c r="AI145" s="10"/>
      <c r="AJ145" s="47"/>
      <c r="AK145" s="10"/>
      <c r="AL145" s="10"/>
      <c r="AM145" s="10"/>
      <c r="AN145" s="10"/>
      <c r="AO145" s="10"/>
      <c r="AP145" s="10"/>
      <c r="AQ145" s="53"/>
      <c r="AR145" s="74"/>
      <c r="AS145" s="10"/>
      <c r="AT145" s="33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</row>
    <row r="146" spans="1:257" ht="12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</row>
    <row r="147" spans="1:257" ht="12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</row>
    <row r="148" spans="1:257" ht="12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  <c r="GP148" s="10"/>
      <c r="GQ148" s="10"/>
      <c r="GR148" s="10"/>
      <c r="GS148" s="10"/>
      <c r="GT148" s="10"/>
      <c r="GU148" s="10"/>
      <c r="GV148" s="10"/>
      <c r="GW148" s="10"/>
      <c r="GX148" s="10"/>
      <c r="GY148" s="10"/>
      <c r="GZ148" s="10"/>
      <c r="HA148" s="10"/>
      <c r="HB148" s="10"/>
      <c r="HC148" s="10"/>
      <c r="HD148" s="10"/>
      <c r="HE148" s="10"/>
      <c r="HF148" s="10"/>
      <c r="HG148" s="10"/>
      <c r="HH148" s="10"/>
      <c r="HI148" s="10"/>
      <c r="HJ148" s="10"/>
      <c r="HK148" s="10"/>
      <c r="HL148" s="10"/>
      <c r="HM148" s="10"/>
      <c r="HN148" s="10"/>
      <c r="HO148" s="10"/>
      <c r="HP148" s="10"/>
      <c r="HQ148" s="10"/>
      <c r="HR148" s="10"/>
      <c r="HS148" s="10"/>
      <c r="HT148" s="10"/>
      <c r="HU148" s="10"/>
      <c r="HV148" s="10"/>
      <c r="HW148" s="10"/>
      <c r="HX148" s="10"/>
      <c r="HY148" s="10"/>
      <c r="HZ148" s="10"/>
      <c r="IA148" s="10"/>
      <c r="IB148" s="10"/>
      <c r="IC148" s="10"/>
      <c r="ID148" s="10"/>
      <c r="IE148" s="10"/>
      <c r="IF148" s="10"/>
      <c r="IG148" s="10"/>
      <c r="IH148" s="10"/>
      <c r="II148" s="10"/>
      <c r="IJ148" s="10"/>
      <c r="IK148" s="10"/>
      <c r="IL148" s="10"/>
      <c r="IM148" s="10"/>
      <c r="IN148" s="10"/>
      <c r="IO148" s="10"/>
      <c r="IP148" s="10"/>
      <c r="IQ148" s="10"/>
      <c r="IR148" s="10"/>
      <c r="IS148" s="10"/>
      <c r="IT148" s="10"/>
      <c r="IU148" s="10"/>
      <c r="IV148" s="10"/>
      <c r="IW148" s="10"/>
    </row>
    <row r="149" spans="1:257" ht="12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  <c r="GP149" s="10"/>
      <c r="GQ149" s="10"/>
      <c r="GR149" s="10"/>
      <c r="GS149" s="10"/>
      <c r="GT149" s="10"/>
      <c r="GU149" s="10"/>
      <c r="GV149" s="10"/>
      <c r="GW149" s="10"/>
      <c r="GX149" s="10"/>
      <c r="GY149" s="10"/>
      <c r="GZ149" s="10"/>
      <c r="HA149" s="10"/>
      <c r="HB149" s="10"/>
      <c r="HC149" s="10"/>
      <c r="HD149" s="10"/>
      <c r="HE149" s="10"/>
      <c r="HF149" s="10"/>
      <c r="HG149" s="10"/>
      <c r="HH149" s="10"/>
      <c r="HI149" s="10"/>
      <c r="HJ149" s="10"/>
      <c r="HK149" s="10"/>
      <c r="HL149" s="10"/>
      <c r="HM149" s="10"/>
      <c r="HN149" s="10"/>
      <c r="HO149" s="10"/>
      <c r="HP149" s="10"/>
      <c r="HQ149" s="10"/>
      <c r="HR149" s="10"/>
      <c r="HS149" s="10"/>
      <c r="HT149" s="10"/>
      <c r="HU149" s="10"/>
      <c r="HV149" s="10"/>
      <c r="HW149" s="10"/>
      <c r="HX149" s="10"/>
      <c r="HY149" s="10"/>
      <c r="HZ149" s="10"/>
      <c r="IA149" s="10"/>
      <c r="IB149" s="10"/>
      <c r="IC149" s="10"/>
      <c r="ID149" s="10"/>
      <c r="IE149" s="10"/>
      <c r="IF149" s="10"/>
      <c r="IG149" s="10"/>
      <c r="IH149" s="10"/>
      <c r="II149" s="10"/>
      <c r="IJ149" s="10"/>
      <c r="IK149" s="10"/>
      <c r="IL149" s="10"/>
      <c r="IM149" s="10"/>
      <c r="IN149" s="10"/>
      <c r="IO149" s="10"/>
      <c r="IP149" s="10"/>
      <c r="IQ149" s="10"/>
      <c r="IR149" s="10"/>
      <c r="IS149" s="10"/>
      <c r="IT149" s="10"/>
      <c r="IU149" s="10"/>
      <c r="IV149" s="10"/>
      <c r="IW149" s="10"/>
    </row>
    <row r="150" spans="1:257" ht="12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  <c r="GP150" s="10"/>
      <c r="GQ150" s="10"/>
      <c r="GR150" s="10"/>
      <c r="GS150" s="10"/>
      <c r="GT150" s="10"/>
      <c r="GU150" s="10"/>
      <c r="GV150" s="10"/>
      <c r="GW150" s="10"/>
      <c r="GX150" s="10"/>
      <c r="GY150" s="10"/>
      <c r="GZ150" s="10"/>
      <c r="HA150" s="10"/>
      <c r="HB150" s="10"/>
      <c r="HC150" s="10"/>
      <c r="HD150" s="10"/>
      <c r="HE150" s="10"/>
      <c r="HF150" s="10"/>
      <c r="HG150" s="10"/>
      <c r="HH150" s="10"/>
      <c r="HI150" s="10"/>
      <c r="HJ150" s="10"/>
      <c r="HK150" s="10"/>
      <c r="HL150" s="10"/>
      <c r="HM150" s="10"/>
      <c r="HN150" s="10"/>
      <c r="HO150" s="10"/>
      <c r="HP150" s="10"/>
      <c r="HQ150" s="10"/>
      <c r="HR150" s="10"/>
      <c r="HS150" s="10"/>
      <c r="HT150" s="10"/>
      <c r="HU150" s="10"/>
      <c r="HV150" s="10"/>
      <c r="HW150" s="10"/>
      <c r="HX150" s="10"/>
      <c r="HY150" s="10"/>
      <c r="HZ150" s="10"/>
      <c r="IA150" s="10"/>
      <c r="IB150" s="10"/>
      <c r="IC150" s="10"/>
      <c r="ID150" s="10"/>
      <c r="IE150" s="10"/>
      <c r="IF150" s="10"/>
      <c r="IG150" s="10"/>
      <c r="IH150" s="10"/>
      <c r="II150" s="10"/>
      <c r="IJ150" s="10"/>
      <c r="IK150" s="10"/>
      <c r="IL150" s="10"/>
      <c r="IM150" s="10"/>
      <c r="IN150" s="10"/>
      <c r="IO150" s="10"/>
      <c r="IP150" s="10"/>
      <c r="IQ150" s="10"/>
      <c r="IR150" s="10"/>
      <c r="IS150" s="10"/>
      <c r="IT150" s="10"/>
      <c r="IU150" s="10"/>
      <c r="IV150" s="10"/>
      <c r="IW150" s="10"/>
    </row>
    <row r="151" spans="1:257" ht="12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  <c r="GP151" s="10"/>
      <c r="GQ151" s="10"/>
      <c r="GR151" s="10"/>
      <c r="GS151" s="10"/>
      <c r="GT151" s="10"/>
      <c r="GU151" s="10"/>
      <c r="GV151" s="10"/>
      <c r="GW151" s="10"/>
      <c r="GX151" s="10"/>
      <c r="GY151" s="10"/>
      <c r="GZ151" s="10"/>
      <c r="HA151" s="10"/>
      <c r="HB151" s="10"/>
      <c r="HC151" s="10"/>
      <c r="HD151" s="10"/>
      <c r="HE151" s="10"/>
      <c r="HF151" s="10"/>
      <c r="HG151" s="10"/>
      <c r="HH151" s="10"/>
      <c r="HI151" s="10"/>
      <c r="HJ151" s="10"/>
      <c r="HK151" s="10"/>
      <c r="HL151" s="10"/>
      <c r="HM151" s="10"/>
      <c r="HN151" s="10"/>
      <c r="HO151" s="10"/>
      <c r="HP151" s="10"/>
      <c r="HQ151" s="10"/>
      <c r="HR151" s="10"/>
      <c r="HS151" s="10"/>
      <c r="HT151" s="10"/>
      <c r="HU151" s="10"/>
      <c r="HV151" s="10"/>
      <c r="HW151" s="10"/>
      <c r="HX151" s="10"/>
      <c r="HY151" s="10"/>
      <c r="HZ151" s="10"/>
      <c r="IA151" s="10"/>
      <c r="IB151" s="10"/>
      <c r="IC151" s="10"/>
      <c r="ID151" s="10"/>
      <c r="IE151" s="10"/>
      <c r="IF151" s="10"/>
      <c r="IG151" s="10"/>
      <c r="IH151" s="10"/>
      <c r="II151" s="10"/>
      <c r="IJ151" s="10"/>
      <c r="IK151" s="10"/>
      <c r="IL151" s="10"/>
      <c r="IM151" s="10"/>
      <c r="IN151" s="10"/>
      <c r="IO151" s="10"/>
      <c r="IP151" s="10"/>
      <c r="IQ151" s="10"/>
      <c r="IR151" s="10"/>
      <c r="IS151" s="10"/>
      <c r="IT151" s="10"/>
      <c r="IU151" s="10"/>
      <c r="IV151" s="10"/>
      <c r="IW151" s="10"/>
    </row>
    <row r="152" spans="1:257" ht="12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  <c r="GP152" s="10"/>
      <c r="GQ152" s="10"/>
      <c r="GR152" s="10"/>
      <c r="GS152" s="10"/>
      <c r="GT152" s="10"/>
      <c r="GU152" s="10"/>
      <c r="GV152" s="10"/>
      <c r="GW152" s="10"/>
      <c r="GX152" s="10"/>
      <c r="GY152" s="10"/>
      <c r="GZ152" s="10"/>
      <c r="HA152" s="10"/>
      <c r="HB152" s="10"/>
      <c r="HC152" s="10"/>
      <c r="HD152" s="10"/>
      <c r="HE152" s="10"/>
      <c r="HF152" s="10"/>
      <c r="HG152" s="10"/>
      <c r="HH152" s="10"/>
      <c r="HI152" s="10"/>
      <c r="HJ152" s="10"/>
      <c r="HK152" s="10"/>
      <c r="HL152" s="10"/>
      <c r="HM152" s="10"/>
      <c r="HN152" s="10"/>
      <c r="HO152" s="10"/>
      <c r="HP152" s="10"/>
      <c r="HQ152" s="10"/>
      <c r="HR152" s="10"/>
      <c r="HS152" s="10"/>
      <c r="HT152" s="10"/>
      <c r="HU152" s="10"/>
      <c r="HV152" s="10"/>
      <c r="HW152" s="10"/>
      <c r="HX152" s="10"/>
      <c r="HY152" s="10"/>
      <c r="HZ152" s="10"/>
      <c r="IA152" s="10"/>
      <c r="IB152" s="10"/>
      <c r="IC152" s="10"/>
      <c r="ID152" s="10"/>
      <c r="IE152" s="10"/>
      <c r="IF152" s="10"/>
      <c r="IG152" s="10"/>
      <c r="IH152" s="10"/>
      <c r="II152" s="10"/>
      <c r="IJ152" s="10"/>
      <c r="IK152" s="10"/>
      <c r="IL152" s="10"/>
      <c r="IM152" s="10"/>
      <c r="IN152" s="10"/>
      <c r="IO152" s="10"/>
      <c r="IP152" s="10"/>
      <c r="IQ152" s="10"/>
      <c r="IR152" s="10"/>
      <c r="IS152" s="10"/>
      <c r="IT152" s="10"/>
      <c r="IU152" s="10"/>
      <c r="IV152" s="10"/>
      <c r="IW152" s="10"/>
    </row>
    <row r="153" spans="1:257" ht="12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  <c r="GP153" s="10"/>
      <c r="GQ153" s="10"/>
      <c r="GR153" s="10"/>
      <c r="GS153" s="10"/>
      <c r="GT153" s="10"/>
      <c r="GU153" s="10"/>
      <c r="GV153" s="10"/>
      <c r="GW153" s="10"/>
      <c r="GX153" s="10"/>
      <c r="GY153" s="10"/>
      <c r="GZ153" s="10"/>
      <c r="HA153" s="10"/>
      <c r="HB153" s="10"/>
      <c r="HC153" s="10"/>
      <c r="HD153" s="10"/>
      <c r="HE153" s="10"/>
      <c r="HF153" s="10"/>
      <c r="HG153" s="10"/>
      <c r="HH153" s="10"/>
      <c r="HI153" s="10"/>
      <c r="HJ153" s="10"/>
      <c r="HK153" s="10"/>
      <c r="HL153" s="10"/>
      <c r="HM153" s="10"/>
      <c r="HN153" s="10"/>
      <c r="HO153" s="10"/>
      <c r="HP153" s="10"/>
      <c r="HQ153" s="10"/>
      <c r="HR153" s="10"/>
      <c r="HS153" s="10"/>
      <c r="HT153" s="10"/>
      <c r="HU153" s="10"/>
      <c r="HV153" s="10"/>
      <c r="HW153" s="10"/>
      <c r="HX153" s="10"/>
      <c r="HY153" s="10"/>
      <c r="HZ153" s="10"/>
      <c r="IA153" s="10"/>
      <c r="IB153" s="10"/>
      <c r="IC153" s="10"/>
      <c r="ID153" s="10"/>
      <c r="IE153" s="10"/>
      <c r="IF153" s="10"/>
      <c r="IG153" s="10"/>
      <c r="IH153" s="10"/>
      <c r="II153" s="10"/>
      <c r="IJ153" s="10"/>
      <c r="IK153" s="10"/>
      <c r="IL153" s="10"/>
      <c r="IM153" s="10"/>
      <c r="IN153" s="10"/>
      <c r="IO153" s="10"/>
      <c r="IP153" s="10"/>
      <c r="IQ153" s="10"/>
      <c r="IR153" s="10"/>
      <c r="IS153" s="10"/>
      <c r="IT153" s="10"/>
      <c r="IU153" s="10"/>
      <c r="IV153" s="10"/>
      <c r="IW153" s="10"/>
    </row>
    <row r="154" spans="1:257" ht="12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  <c r="GP154" s="10"/>
      <c r="GQ154" s="10"/>
      <c r="GR154" s="10"/>
      <c r="GS154" s="10"/>
      <c r="GT154" s="10"/>
      <c r="GU154" s="10"/>
      <c r="GV154" s="10"/>
      <c r="GW154" s="10"/>
      <c r="GX154" s="10"/>
      <c r="GY154" s="10"/>
      <c r="GZ154" s="10"/>
      <c r="HA154" s="10"/>
      <c r="HB154" s="10"/>
      <c r="HC154" s="10"/>
      <c r="HD154" s="10"/>
      <c r="HE154" s="10"/>
      <c r="HF154" s="10"/>
      <c r="HG154" s="10"/>
      <c r="HH154" s="10"/>
      <c r="HI154" s="10"/>
      <c r="HJ154" s="10"/>
      <c r="HK154" s="10"/>
      <c r="HL154" s="10"/>
      <c r="HM154" s="10"/>
      <c r="HN154" s="10"/>
      <c r="HO154" s="10"/>
      <c r="HP154" s="10"/>
      <c r="HQ154" s="10"/>
      <c r="HR154" s="10"/>
      <c r="HS154" s="10"/>
      <c r="HT154" s="10"/>
      <c r="HU154" s="10"/>
      <c r="HV154" s="10"/>
      <c r="HW154" s="10"/>
      <c r="HX154" s="10"/>
      <c r="HY154" s="10"/>
      <c r="HZ154" s="10"/>
      <c r="IA154" s="10"/>
      <c r="IB154" s="10"/>
      <c r="IC154" s="10"/>
      <c r="ID154" s="10"/>
      <c r="IE154" s="10"/>
      <c r="IF154" s="10"/>
      <c r="IG154" s="10"/>
      <c r="IH154" s="10"/>
      <c r="II154" s="10"/>
      <c r="IJ154" s="10"/>
      <c r="IK154" s="10"/>
      <c r="IL154" s="10"/>
      <c r="IM154" s="10"/>
      <c r="IN154" s="10"/>
      <c r="IO154" s="10"/>
      <c r="IP154" s="10"/>
      <c r="IQ154" s="10"/>
      <c r="IR154" s="10"/>
      <c r="IS154" s="10"/>
      <c r="IT154" s="10"/>
      <c r="IU154" s="10"/>
      <c r="IV154" s="10"/>
      <c r="IW154" s="10"/>
    </row>
    <row r="155" spans="1:257" ht="12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  <c r="GP155" s="10"/>
      <c r="GQ155" s="10"/>
      <c r="GR155" s="10"/>
      <c r="GS155" s="10"/>
      <c r="GT155" s="10"/>
      <c r="GU155" s="10"/>
      <c r="GV155" s="10"/>
      <c r="GW155" s="10"/>
      <c r="GX155" s="10"/>
      <c r="GY155" s="10"/>
      <c r="GZ155" s="10"/>
      <c r="HA155" s="10"/>
      <c r="HB155" s="10"/>
      <c r="HC155" s="10"/>
      <c r="HD155" s="10"/>
      <c r="HE155" s="10"/>
      <c r="HF155" s="10"/>
      <c r="HG155" s="10"/>
      <c r="HH155" s="10"/>
      <c r="HI155" s="10"/>
      <c r="HJ155" s="10"/>
      <c r="HK155" s="10"/>
      <c r="HL155" s="10"/>
      <c r="HM155" s="10"/>
      <c r="HN155" s="10"/>
      <c r="HO155" s="10"/>
      <c r="HP155" s="10"/>
      <c r="HQ155" s="10"/>
      <c r="HR155" s="10"/>
      <c r="HS155" s="10"/>
      <c r="HT155" s="10"/>
      <c r="HU155" s="10"/>
      <c r="HV155" s="10"/>
      <c r="HW155" s="10"/>
      <c r="HX155" s="10"/>
      <c r="HY155" s="10"/>
      <c r="HZ155" s="10"/>
      <c r="IA155" s="10"/>
      <c r="IB155" s="10"/>
      <c r="IC155" s="10"/>
      <c r="ID155" s="10"/>
      <c r="IE155" s="10"/>
      <c r="IF155" s="10"/>
      <c r="IG155" s="10"/>
      <c r="IH155" s="10"/>
      <c r="II155" s="10"/>
      <c r="IJ155" s="10"/>
      <c r="IK155" s="10"/>
      <c r="IL155" s="10"/>
      <c r="IM155" s="10"/>
      <c r="IN155" s="10"/>
      <c r="IO155" s="10"/>
      <c r="IP155" s="10"/>
      <c r="IQ155" s="10"/>
      <c r="IR155" s="10"/>
      <c r="IS155" s="10"/>
      <c r="IT155" s="10"/>
      <c r="IU155" s="10"/>
      <c r="IV155" s="10"/>
      <c r="IW155" s="10"/>
    </row>
    <row r="156" spans="1:257" ht="12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  <c r="GP156" s="10"/>
      <c r="GQ156" s="10"/>
      <c r="GR156" s="10"/>
      <c r="GS156" s="10"/>
      <c r="GT156" s="10"/>
      <c r="GU156" s="10"/>
      <c r="GV156" s="10"/>
      <c r="GW156" s="10"/>
      <c r="GX156" s="10"/>
      <c r="GY156" s="10"/>
      <c r="GZ156" s="10"/>
      <c r="HA156" s="10"/>
      <c r="HB156" s="10"/>
      <c r="HC156" s="10"/>
      <c r="HD156" s="10"/>
      <c r="HE156" s="10"/>
      <c r="HF156" s="10"/>
      <c r="HG156" s="10"/>
      <c r="HH156" s="10"/>
      <c r="HI156" s="10"/>
      <c r="HJ156" s="10"/>
      <c r="HK156" s="10"/>
      <c r="HL156" s="10"/>
      <c r="HM156" s="10"/>
      <c r="HN156" s="10"/>
      <c r="HO156" s="10"/>
      <c r="HP156" s="10"/>
      <c r="HQ156" s="10"/>
      <c r="HR156" s="10"/>
      <c r="HS156" s="10"/>
      <c r="HT156" s="10"/>
      <c r="HU156" s="10"/>
      <c r="HV156" s="10"/>
      <c r="HW156" s="10"/>
      <c r="HX156" s="10"/>
      <c r="HY156" s="10"/>
      <c r="HZ156" s="10"/>
      <c r="IA156" s="10"/>
      <c r="IB156" s="10"/>
      <c r="IC156" s="10"/>
      <c r="ID156" s="10"/>
      <c r="IE156" s="10"/>
      <c r="IF156" s="10"/>
      <c r="IG156" s="10"/>
      <c r="IH156" s="10"/>
      <c r="II156" s="10"/>
      <c r="IJ156" s="10"/>
      <c r="IK156" s="10"/>
      <c r="IL156" s="10"/>
      <c r="IM156" s="10"/>
      <c r="IN156" s="10"/>
      <c r="IO156" s="10"/>
      <c r="IP156" s="10"/>
      <c r="IQ156" s="10"/>
      <c r="IR156" s="10"/>
      <c r="IS156" s="10"/>
      <c r="IT156" s="10"/>
      <c r="IU156" s="10"/>
      <c r="IV156" s="10"/>
      <c r="IW156" s="10"/>
    </row>
    <row r="157" spans="1:257" ht="12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  <c r="GP157" s="10"/>
      <c r="GQ157" s="10"/>
      <c r="GR157" s="10"/>
      <c r="GS157" s="10"/>
      <c r="GT157" s="10"/>
      <c r="GU157" s="10"/>
      <c r="GV157" s="10"/>
      <c r="GW157" s="10"/>
      <c r="GX157" s="10"/>
      <c r="GY157" s="10"/>
      <c r="GZ157" s="10"/>
      <c r="HA157" s="10"/>
      <c r="HB157" s="10"/>
      <c r="HC157" s="10"/>
      <c r="HD157" s="10"/>
      <c r="HE157" s="10"/>
      <c r="HF157" s="10"/>
      <c r="HG157" s="10"/>
      <c r="HH157" s="10"/>
      <c r="HI157" s="10"/>
      <c r="HJ157" s="10"/>
      <c r="HK157" s="10"/>
      <c r="HL157" s="10"/>
      <c r="HM157" s="10"/>
      <c r="HN157" s="10"/>
      <c r="HO157" s="10"/>
      <c r="HP157" s="10"/>
      <c r="HQ157" s="10"/>
      <c r="HR157" s="10"/>
      <c r="HS157" s="10"/>
      <c r="HT157" s="10"/>
      <c r="HU157" s="10"/>
      <c r="HV157" s="10"/>
      <c r="HW157" s="10"/>
      <c r="HX157" s="10"/>
      <c r="HY157" s="10"/>
      <c r="HZ157" s="10"/>
      <c r="IA157" s="10"/>
      <c r="IB157" s="10"/>
      <c r="IC157" s="10"/>
      <c r="ID157" s="10"/>
      <c r="IE157" s="10"/>
      <c r="IF157" s="10"/>
      <c r="IG157" s="10"/>
      <c r="IH157" s="10"/>
      <c r="II157" s="10"/>
      <c r="IJ157" s="10"/>
      <c r="IK157" s="10"/>
      <c r="IL157" s="10"/>
      <c r="IM157" s="10"/>
      <c r="IN157" s="10"/>
      <c r="IO157" s="10"/>
      <c r="IP157" s="10"/>
      <c r="IQ157" s="10"/>
      <c r="IR157" s="10"/>
      <c r="IS157" s="10"/>
      <c r="IT157" s="10"/>
      <c r="IU157" s="10"/>
      <c r="IV157" s="10"/>
      <c r="IW157" s="10"/>
    </row>
    <row r="158" spans="1:257" ht="12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  <c r="GP158" s="10"/>
      <c r="GQ158" s="10"/>
      <c r="GR158" s="10"/>
      <c r="GS158" s="10"/>
      <c r="GT158" s="10"/>
      <c r="GU158" s="10"/>
      <c r="GV158" s="10"/>
      <c r="GW158" s="10"/>
      <c r="GX158" s="10"/>
      <c r="GY158" s="10"/>
      <c r="GZ158" s="10"/>
      <c r="HA158" s="10"/>
      <c r="HB158" s="10"/>
      <c r="HC158" s="10"/>
      <c r="HD158" s="10"/>
      <c r="HE158" s="10"/>
      <c r="HF158" s="10"/>
      <c r="HG158" s="10"/>
      <c r="HH158" s="10"/>
      <c r="HI158" s="10"/>
      <c r="HJ158" s="10"/>
      <c r="HK158" s="10"/>
      <c r="HL158" s="10"/>
      <c r="HM158" s="10"/>
      <c r="HN158" s="10"/>
      <c r="HO158" s="10"/>
      <c r="HP158" s="10"/>
      <c r="HQ158" s="10"/>
      <c r="HR158" s="10"/>
      <c r="HS158" s="10"/>
      <c r="HT158" s="10"/>
      <c r="HU158" s="10"/>
      <c r="HV158" s="10"/>
      <c r="HW158" s="10"/>
      <c r="HX158" s="10"/>
      <c r="HY158" s="10"/>
      <c r="HZ158" s="10"/>
      <c r="IA158" s="10"/>
      <c r="IB158" s="10"/>
      <c r="IC158" s="10"/>
      <c r="ID158" s="10"/>
      <c r="IE158" s="10"/>
      <c r="IF158" s="10"/>
      <c r="IG158" s="10"/>
      <c r="IH158" s="10"/>
      <c r="II158" s="10"/>
      <c r="IJ158" s="10"/>
      <c r="IK158" s="10"/>
      <c r="IL158" s="10"/>
      <c r="IM158" s="10"/>
      <c r="IN158" s="10"/>
      <c r="IO158" s="10"/>
      <c r="IP158" s="10"/>
      <c r="IQ158" s="10"/>
      <c r="IR158" s="10"/>
      <c r="IS158" s="10"/>
      <c r="IT158" s="10"/>
      <c r="IU158" s="10"/>
      <c r="IV158" s="10"/>
      <c r="IW158" s="10"/>
    </row>
    <row r="159" spans="1:257" ht="12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  <c r="GP159" s="10"/>
      <c r="GQ159" s="10"/>
      <c r="GR159" s="10"/>
      <c r="GS159" s="10"/>
      <c r="GT159" s="10"/>
      <c r="GU159" s="10"/>
      <c r="GV159" s="10"/>
      <c r="GW159" s="10"/>
      <c r="GX159" s="10"/>
      <c r="GY159" s="10"/>
      <c r="GZ159" s="10"/>
      <c r="HA159" s="10"/>
      <c r="HB159" s="10"/>
      <c r="HC159" s="10"/>
      <c r="HD159" s="10"/>
      <c r="HE159" s="10"/>
      <c r="HF159" s="10"/>
      <c r="HG159" s="10"/>
      <c r="HH159" s="10"/>
      <c r="HI159" s="10"/>
      <c r="HJ159" s="10"/>
      <c r="HK159" s="10"/>
      <c r="HL159" s="10"/>
      <c r="HM159" s="10"/>
      <c r="HN159" s="10"/>
      <c r="HO159" s="10"/>
      <c r="HP159" s="10"/>
      <c r="HQ159" s="10"/>
      <c r="HR159" s="10"/>
      <c r="HS159" s="10"/>
      <c r="HT159" s="10"/>
      <c r="HU159" s="10"/>
      <c r="HV159" s="10"/>
      <c r="HW159" s="10"/>
      <c r="HX159" s="10"/>
      <c r="HY159" s="10"/>
      <c r="HZ159" s="10"/>
      <c r="IA159" s="10"/>
      <c r="IB159" s="10"/>
      <c r="IC159" s="10"/>
      <c r="ID159" s="10"/>
      <c r="IE159" s="10"/>
      <c r="IF159" s="10"/>
      <c r="IG159" s="10"/>
      <c r="IH159" s="10"/>
      <c r="II159" s="10"/>
      <c r="IJ159" s="10"/>
      <c r="IK159" s="10"/>
      <c r="IL159" s="10"/>
      <c r="IM159" s="10"/>
      <c r="IN159" s="10"/>
      <c r="IO159" s="10"/>
      <c r="IP159" s="10"/>
      <c r="IQ159" s="10"/>
      <c r="IR159" s="10"/>
      <c r="IS159" s="10"/>
      <c r="IT159" s="10"/>
      <c r="IU159" s="10"/>
      <c r="IV159" s="10"/>
      <c r="IW159" s="10"/>
    </row>
    <row r="160" spans="1:257" ht="12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/>
      <c r="GQ160" s="10"/>
      <c r="GR160" s="10"/>
      <c r="GS160" s="10"/>
      <c r="GT160" s="10"/>
      <c r="GU160" s="10"/>
      <c r="GV160" s="10"/>
      <c r="GW160" s="10"/>
      <c r="GX160" s="10"/>
      <c r="GY160" s="10"/>
      <c r="GZ160" s="10"/>
      <c r="HA160" s="10"/>
      <c r="HB160" s="10"/>
      <c r="HC160" s="10"/>
      <c r="HD160" s="10"/>
      <c r="HE160" s="10"/>
      <c r="HF160" s="10"/>
      <c r="HG160" s="10"/>
      <c r="HH160" s="10"/>
      <c r="HI160" s="10"/>
      <c r="HJ160" s="10"/>
      <c r="HK160" s="10"/>
      <c r="HL160" s="10"/>
      <c r="HM160" s="10"/>
      <c r="HN160" s="10"/>
      <c r="HO160" s="10"/>
      <c r="HP160" s="10"/>
      <c r="HQ160" s="10"/>
      <c r="HR160" s="10"/>
      <c r="HS160" s="10"/>
      <c r="HT160" s="10"/>
      <c r="HU160" s="10"/>
      <c r="HV160" s="10"/>
      <c r="HW160" s="10"/>
      <c r="HX160" s="10"/>
      <c r="HY160" s="10"/>
      <c r="HZ160" s="10"/>
      <c r="IA160" s="10"/>
      <c r="IB160" s="10"/>
      <c r="IC160" s="10"/>
      <c r="ID160" s="10"/>
      <c r="IE160" s="10"/>
      <c r="IF160" s="10"/>
      <c r="IG160" s="10"/>
      <c r="IH160" s="10"/>
      <c r="II160" s="10"/>
      <c r="IJ160" s="10"/>
      <c r="IK160" s="10"/>
      <c r="IL160" s="10"/>
      <c r="IM160" s="10"/>
      <c r="IN160" s="10"/>
      <c r="IO160" s="10"/>
      <c r="IP160" s="10"/>
      <c r="IQ160" s="10"/>
      <c r="IR160" s="10"/>
      <c r="IS160" s="10"/>
      <c r="IT160" s="10"/>
      <c r="IU160" s="10"/>
      <c r="IV160" s="10"/>
      <c r="IW160" s="10"/>
    </row>
    <row r="161" spans="1:257" ht="12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  <c r="GP161" s="10"/>
      <c r="GQ161" s="10"/>
      <c r="GR161" s="10"/>
      <c r="GS161" s="10"/>
      <c r="GT161" s="10"/>
      <c r="GU161" s="10"/>
      <c r="GV161" s="10"/>
      <c r="GW161" s="10"/>
      <c r="GX161" s="10"/>
      <c r="GY161" s="10"/>
      <c r="GZ161" s="10"/>
      <c r="HA161" s="10"/>
      <c r="HB161" s="10"/>
      <c r="HC161" s="10"/>
      <c r="HD161" s="10"/>
      <c r="HE161" s="10"/>
      <c r="HF161" s="10"/>
      <c r="HG161" s="10"/>
      <c r="HH161" s="10"/>
      <c r="HI161" s="10"/>
      <c r="HJ161" s="10"/>
      <c r="HK161" s="10"/>
      <c r="HL161" s="10"/>
      <c r="HM161" s="10"/>
      <c r="HN161" s="10"/>
      <c r="HO161" s="10"/>
      <c r="HP161" s="10"/>
      <c r="HQ161" s="10"/>
      <c r="HR161" s="10"/>
      <c r="HS161" s="10"/>
      <c r="HT161" s="10"/>
      <c r="HU161" s="10"/>
      <c r="HV161" s="10"/>
      <c r="HW161" s="10"/>
      <c r="HX161" s="10"/>
      <c r="HY161" s="10"/>
      <c r="HZ161" s="10"/>
      <c r="IA161" s="10"/>
      <c r="IB161" s="10"/>
      <c r="IC161" s="10"/>
      <c r="ID161" s="10"/>
      <c r="IE161" s="10"/>
      <c r="IF161" s="10"/>
      <c r="IG161" s="10"/>
      <c r="IH161" s="10"/>
      <c r="II161" s="10"/>
      <c r="IJ161" s="10"/>
      <c r="IK161" s="10"/>
      <c r="IL161" s="10"/>
      <c r="IM161" s="10"/>
      <c r="IN161" s="10"/>
      <c r="IO161" s="10"/>
      <c r="IP161" s="10"/>
      <c r="IQ161" s="10"/>
      <c r="IR161" s="10"/>
      <c r="IS161" s="10"/>
      <c r="IT161" s="10"/>
      <c r="IU161" s="10"/>
      <c r="IV161" s="10"/>
      <c r="IW161" s="10"/>
    </row>
    <row r="162" spans="1:257" ht="12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  <c r="GP162" s="10"/>
      <c r="GQ162" s="10"/>
      <c r="GR162" s="10"/>
      <c r="GS162" s="10"/>
      <c r="GT162" s="10"/>
      <c r="GU162" s="10"/>
      <c r="GV162" s="10"/>
      <c r="GW162" s="10"/>
      <c r="GX162" s="10"/>
      <c r="GY162" s="10"/>
      <c r="GZ162" s="10"/>
      <c r="HA162" s="10"/>
      <c r="HB162" s="10"/>
      <c r="HC162" s="10"/>
      <c r="HD162" s="10"/>
      <c r="HE162" s="10"/>
      <c r="HF162" s="10"/>
      <c r="HG162" s="10"/>
      <c r="HH162" s="10"/>
      <c r="HI162" s="10"/>
      <c r="HJ162" s="10"/>
      <c r="HK162" s="10"/>
      <c r="HL162" s="10"/>
      <c r="HM162" s="10"/>
      <c r="HN162" s="10"/>
      <c r="HO162" s="10"/>
      <c r="HP162" s="10"/>
      <c r="HQ162" s="10"/>
      <c r="HR162" s="10"/>
      <c r="HS162" s="10"/>
      <c r="HT162" s="10"/>
      <c r="HU162" s="10"/>
      <c r="HV162" s="10"/>
      <c r="HW162" s="10"/>
      <c r="HX162" s="10"/>
      <c r="HY162" s="10"/>
      <c r="HZ162" s="10"/>
      <c r="IA162" s="10"/>
      <c r="IB162" s="10"/>
      <c r="IC162" s="10"/>
      <c r="ID162" s="10"/>
      <c r="IE162" s="10"/>
      <c r="IF162" s="10"/>
      <c r="IG162" s="10"/>
      <c r="IH162" s="10"/>
      <c r="II162" s="10"/>
      <c r="IJ162" s="10"/>
      <c r="IK162" s="10"/>
      <c r="IL162" s="10"/>
      <c r="IM162" s="10"/>
      <c r="IN162" s="10"/>
      <c r="IO162" s="10"/>
      <c r="IP162" s="10"/>
      <c r="IQ162" s="10"/>
      <c r="IR162" s="10"/>
      <c r="IS162" s="10"/>
      <c r="IT162" s="10"/>
      <c r="IU162" s="10"/>
      <c r="IV162" s="10"/>
      <c r="IW162" s="10"/>
    </row>
    <row r="163" spans="1:257" ht="12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85"/>
      <c r="M163" s="83"/>
      <c r="N163" s="10"/>
      <c r="O163" s="83"/>
      <c r="P163" s="10"/>
      <c r="Q163" s="83"/>
      <c r="R163" s="47"/>
      <c r="S163" s="83"/>
      <c r="T163" s="10"/>
      <c r="U163" s="83"/>
      <c r="V163" s="10"/>
      <c r="W163" s="83"/>
      <c r="X163" s="53"/>
      <c r="Y163" s="83"/>
      <c r="Z163" s="47"/>
      <c r="AA163" s="83"/>
      <c r="AB163" s="85"/>
      <c r="AC163" s="83"/>
      <c r="AD163" s="47"/>
      <c r="AE163" s="83"/>
      <c r="AF163" s="47"/>
      <c r="AG163" s="83"/>
      <c r="AH163" s="47"/>
      <c r="AI163" s="83"/>
      <c r="AJ163" s="10"/>
      <c r="AK163" s="10"/>
      <c r="AL163" s="47"/>
      <c r="AM163" s="83"/>
      <c r="AN163" s="83"/>
      <c r="AO163" s="83"/>
      <c r="AP163" s="10"/>
      <c r="AQ163" s="10"/>
      <c r="AR163" s="83"/>
      <c r="AS163" s="84"/>
      <c r="AT163" s="74"/>
      <c r="AU163" s="10"/>
      <c r="AV163" s="33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  <c r="GP163" s="10"/>
      <c r="GQ163" s="10"/>
      <c r="GR163" s="10"/>
      <c r="GS163" s="10"/>
      <c r="GT163" s="10"/>
      <c r="GU163" s="10"/>
      <c r="GV163" s="10"/>
      <c r="GW163" s="10"/>
      <c r="GX163" s="10"/>
      <c r="GY163" s="10"/>
      <c r="GZ163" s="10"/>
      <c r="HA163" s="10"/>
      <c r="HB163" s="10"/>
      <c r="HC163" s="10"/>
      <c r="HD163" s="10"/>
      <c r="HE163" s="10"/>
      <c r="HF163" s="10"/>
      <c r="HG163" s="10"/>
      <c r="HH163" s="10"/>
      <c r="HI163" s="10"/>
      <c r="HJ163" s="10"/>
      <c r="HK163" s="10"/>
      <c r="HL163" s="10"/>
      <c r="HM163" s="10"/>
      <c r="HN163" s="10"/>
      <c r="HO163" s="10"/>
      <c r="HP163" s="10"/>
      <c r="HQ163" s="10"/>
      <c r="HR163" s="10"/>
      <c r="HS163" s="10"/>
      <c r="HT163" s="10"/>
      <c r="HU163" s="10"/>
      <c r="HV163" s="10"/>
      <c r="HW163" s="10"/>
      <c r="HX163" s="10"/>
      <c r="HY163" s="10"/>
      <c r="HZ163" s="10"/>
      <c r="IA163" s="10"/>
      <c r="IB163" s="10"/>
      <c r="IC163" s="10"/>
      <c r="ID163" s="10"/>
      <c r="IE163" s="10"/>
      <c r="IF163" s="10"/>
      <c r="IG163" s="10"/>
      <c r="IH163" s="10"/>
      <c r="II163" s="10"/>
      <c r="IJ163" s="10"/>
      <c r="IK163" s="10"/>
      <c r="IL163" s="10"/>
      <c r="IM163" s="10"/>
      <c r="IN163" s="10"/>
      <c r="IO163" s="10"/>
      <c r="IP163" s="10"/>
      <c r="IQ163" s="10"/>
      <c r="IR163" s="10"/>
      <c r="IS163" s="10"/>
      <c r="IT163" s="10"/>
      <c r="IU163" s="10"/>
      <c r="IV163" s="10"/>
      <c r="IW163" s="10"/>
    </row>
    <row r="164" spans="1:257" ht="12" customHeight="1">
      <c r="A164" s="10"/>
      <c r="B164" s="245" t="s">
        <v>68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85"/>
      <c r="M164" s="83"/>
      <c r="N164" s="10"/>
      <c r="O164" s="83"/>
      <c r="P164" s="10"/>
      <c r="Q164" s="83"/>
      <c r="R164" s="47"/>
      <c r="S164" s="83"/>
      <c r="T164" s="10"/>
      <c r="U164" s="83"/>
      <c r="V164" s="10"/>
      <c r="W164" s="83"/>
      <c r="X164" s="53"/>
      <c r="Y164" s="83"/>
      <c r="Z164" s="47"/>
      <c r="AA164" s="83"/>
      <c r="AB164" s="85"/>
      <c r="AC164" s="83"/>
      <c r="AD164" s="47"/>
      <c r="AE164" s="83"/>
      <c r="AF164" s="47"/>
      <c r="AG164" s="83"/>
      <c r="AH164" s="47"/>
      <c r="AI164" s="83"/>
      <c r="AJ164" s="10"/>
      <c r="AK164" s="10"/>
      <c r="AL164" s="47"/>
      <c r="AM164" s="83"/>
      <c r="AN164" s="83"/>
      <c r="AO164" s="83"/>
      <c r="AP164" s="10"/>
      <c r="AQ164" s="10"/>
      <c r="AR164" s="83"/>
      <c r="AS164" s="84"/>
      <c r="AT164" s="74"/>
      <c r="AU164" s="10"/>
      <c r="AV164" s="33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  <c r="GP164" s="10"/>
      <c r="GQ164" s="10"/>
      <c r="GR164" s="10"/>
      <c r="GS164" s="10"/>
      <c r="GT164" s="10"/>
      <c r="GU164" s="10"/>
      <c r="GV164" s="10"/>
      <c r="GW164" s="10"/>
      <c r="GX164" s="10"/>
      <c r="GY164" s="10"/>
      <c r="GZ164" s="10"/>
      <c r="HA164" s="10"/>
      <c r="HB164" s="10"/>
      <c r="HC164" s="10"/>
      <c r="HD164" s="10"/>
      <c r="HE164" s="10"/>
      <c r="HF164" s="10"/>
      <c r="HG164" s="10"/>
      <c r="HH164" s="10"/>
      <c r="HI164" s="10"/>
      <c r="HJ164" s="10"/>
      <c r="HK164" s="10"/>
      <c r="HL164" s="10"/>
      <c r="HM164" s="10"/>
      <c r="HN164" s="10"/>
      <c r="HO164" s="10"/>
      <c r="HP164" s="10"/>
      <c r="HQ164" s="10"/>
      <c r="HR164" s="10"/>
      <c r="HS164" s="10"/>
      <c r="HT164" s="10"/>
      <c r="HU164" s="10"/>
      <c r="HV164" s="10"/>
      <c r="HW164" s="10"/>
      <c r="HX164" s="10"/>
      <c r="HY164" s="10"/>
      <c r="HZ164" s="10"/>
      <c r="IA164" s="10"/>
      <c r="IB164" s="10"/>
      <c r="IC164" s="10"/>
      <c r="ID164" s="10"/>
      <c r="IE164" s="10"/>
      <c r="IF164" s="10"/>
      <c r="IG164" s="10"/>
      <c r="IH164" s="10"/>
      <c r="II164" s="10"/>
      <c r="IJ164" s="10"/>
      <c r="IK164" s="10"/>
      <c r="IL164" s="10"/>
      <c r="IM164" s="10"/>
      <c r="IN164" s="10"/>
      <c r="IO164" s="10"/>
      <c r="IP164" s="10"/>
      <c r="IQ164" s="10"/>
      <c r="IR164" s="10"/>
      <c r="IS164" s="10"/>
      <c r="IT164" s="10"/>
      <c r="IU164" s="10"/>
      <c r="IV164" s="10"/>
      <c r="IW164" s="10"/>
    </row>
  </sheetData>
  <printOptions verticalCentered="1"/>
  <pageMargins left="0.7" right="0.7" top="0.75" bottom="0.75" header="0" footer="0"/>
  <pageSetup scale="72" pageOrder="overThenDown" orientation="landscape"/>
  <headerFooter>
    <oddHeader>&amp;CDartmouth Woodsman's Weekend 2015 - Official Results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topLeftCell="A56" zoomScale="156" workbookViewId="0">
      <selection activeCell="C72" sqref="C72"/>
    </sheetView>
  </sheetViews>
  <sheetFormatPr baseColWidth="10" defaultColWidth="12.59765625" defaultRowHeight="15" customHeight="1"/>
  <cols>
    <col min="1" max="1" width="21.796875" customWidth="1"/>
    <col min="2" max="2" width="8.59765625" customWidth="1"/>
    <col min="3" max="3" width="15.796875" customWidth="1"/>
    <col min="4" max="11" width="8.796875" customWidth="1"/>
  </cols>
  <sheetData>
    <row r="1" spans="1:5" ht="12.75" customHeight="1">
      <c r="A1" s="1" t="s">
        <v>0</v>
      </c>
      <c r="B1" s="129" t="s">
        <v>54</v>
      </c>
      <c r="C1" s="130" t="s">
        <v>55</v>
      </c>
      <c r="D1" s="131"/>
    </row>
    <row r="2" spans="1:5" ht="12.75" customHeight="1">
      <c r="A2" s="11" t="s">
        <v>18</v>
      </c>
      <c r="B2" s="132"/>
      <c r="C2" s="133"/>
    </row>
    <row r="3" spans="1:5" ht="12.75" customHeight="1">
      <c r="A3" s="23" t="s">
        <v>29</v>
      </c>
      <c r="B3" s="132">
        <v>54.31</v>
      </c>
      <c r="C3" s="133">
        <f>B3/$B$15*80</f>
        <v>16.752650857914016</v>
      </c>
    </row>
    <row r="4" spans="1:5" ht="12.75" customHeight="1">
      <c r="A4" s="34" t="s">
        <v>28</v>
      </c>
      <c r="B4" s="132">
        <v>42.6</v>
      </c>
      <c r="C4" s="133">
        <f t="shared" ref="C4:C14" si="0">B4/$B$15*80</f>
        <v>13.140543666859458</v>
      </c>
      <c r="E4" s="140"/>
    </row>
    <row r="5" spans="1:5" ht="12.75" customHeight="1">
      <c r="A5" s="23" t="s">
        <v>32</v>
      </c>
      <c r="B5" s="132">
        <v>113.57</v>
      </c>
      <c r="C5" s="133">
        <v>90</v>
      </c>
      <c r="E5" s="133"/>
    </row>
    <row r="6" spans="1:5" ht="12.75" customHeight="1">
      <c r="A6" s="34" t="s">
        <v>30</v>
      </c>
      <c r="B6" s="132">
        <v>3</v>
      </c>
      <c r="C6" s="133">
        <f t="shared" si="0"/>
        <v>0.92539039907460952</v>
      </c>
      <c r="D6" s="134"/>
    </row>
    <row r="7" spans="1:5" ht="12.75" customHeight="1">
      <c r="A7" s="23" t="s">
        <v>52</v>
      </c>
      <c r="B7" s="132">
        <v>137.41</v>
      </c>
      <c r="C7" s="133">
        <v>85</v>
      </c>
      <c r="D7" s="134"/>
    </row>
    <row r="8" spans="1:5" ht="12.75" customHeight="1">
      <c r="A8" s="34" t="s">
        <v>33</v>
      </c>
      <c r="B8" s="132">
        <v>18.28</v>
      </c>
      <c r="C8" s="133">
        <f t="shared" si="0"/>
        <v>5.6387121650279548</v>
      </c>
      <c r="D8" s="134"/>
    </row>
    <row r="9" spans="1:5" ht="12.75" customHeight="1">
      <c r="A9" s="23" t="s">
        <v>53</v>
      </c>
      <c r="B9" s="132">
        <v>6.81</v>
      </c>
      <c r="C9" s="133">
        <f t="shared" si="0"/>
        <v>2.1006362058993635</v>
      </c>
      <c r="D9" s="134"/>
    </row>
    <row r="10" spans="1:5" ht="12.75" customHeight="1">
      <c r="A10" s="34" t="s">
        <v>48</v>
      </c>
      <c r="B10" s="132">
        <v>3.03</v>
      </c>
      <c r="C10" s="133">
        <f t="shared" si="0"/>
        <v>0.93464430306535562</v>
      </c>
    </row>
    <row r="11" spans="1:5" ht="12.75" customHeight="1">
      <c r="A11" s="23" t="s">
        <v>49</v>
      </c>
      <c r="B11" s="132">
        <v>14.12</v>
      </c>
      <c r="C11" s="133">
        <f t="shared" si="0"/>
        <v>4.3555041449778287</v>
      </c>
    </row>
    <row r="12" spans="1:5" ht="12.75" customHeight="1">
      <c r="A12" s="34" t="s">
        <v>59</v>
      </c>
      <c r="B12" s="132">
        <v>4.8099999999999996</v>
      </c>
      <c r="C12" s="133">
        <f t="shared" si="0"/>
        <v>1.4837092731829571</v>
      </c>
    </row>
    <row r="13" spans="1:5" ht="12.75" customHeight="1">
      <c r="A13" s="23" t="s">
        <v>31</v>
      </c>
      <c r="B13" s="132">
        <v>173.05</v>
      </c>
      <c r="C13" s="133">
        <v>100</v>
      </c>
    </row>
    <row r="14" spans="1:5" ht="12.75" customHeight="1">
      <c r="A14" s="34" t="s">
        <v>47</v>
      </c>
      <c r="B14" s="132">
        <v>16.72</v>
      </c>
      <c r="C14" s="133">
        <f t="shared" si="0"/>
        <v>5.1575091575091569</v>
      </c>
    </row>
    <row r="15" spans="1:5" ht="12.75" customHeight="1">
      <c r="A15" s="23" t="s">
        <v>34</v>
      </c>
      <c r="B15" s="132">
        <v>259.35000000000002</v>
      </c>
      <c r="C15" s="133">
        <v>80</v>
      </c>
    </row>
    <row r="16" spans="1:5" ht="12.75" customHeight="1">
      <c r="A16" s="34"/>
      <c r="B16" s="132"/>
      <c r="C16" s="133"/>
    </row>
    <row r="17" spans="1:4" ht="12.75" customHeight="1">
      <c r="A17" s="23"/>
      <c r="B17" s="132"/>
      <c r="C17" s="133"/>
    </row>
    <row r="18" spans="1:4" ht="12.75" customHeight="1">
      <c r="A18" s="34"/>
      <c r="B18" s="132"/>
      <c r="C18" s="133"/>
    </row>
    <row r="19" spans="1:4" ht="12.75" customHeight="1">
      <c r="A19" s="138" t="s">
        <v>63</v>
      </c>
      <c r="B19" s="132">
        <v>20.69</v>
      </c>
      <c r="C19" s="133">
        <f>B19/$B$15*80</f>
        <v>6.3821091189512238</v>
      </c>
    </row>
    <row r="20" spans="1:4" ht="12.75" customHeight="1">
      <c r="A20" s="139" t="s">
        <v>57</v>
      </c>
      <c r="B20" s="132">
        <v>3.21</v>
      </c>
      <c r="C20" s="133">
        <f t="shared" ref="C20:C21" si="1">B20/$B$15*80</f>
        <v>0.99016772700983213</v>
      </c>
    </row>
    <row r="21" spans="1:4" ht="12.75" customHeight="1">
      <c r="A21" s="138" t="s">
        <v>58</v>
      </c>
      <c r="B21" s="132">
        <v>3.53</v>
      </c>
      <c r="C21" s="133">
        <f t="shared" si="1"/>
        <v>1.0888760362444572</v>
      </c>
    </row>
    <row r="22" spans="1:4" ht="12.75" customHeight="1">
      <c r="A22" s="34"/>
      <c r="B22" s="132"/>
      <c r="C22" s="134"/>
    </row>
    <row r="23" spans="1:4" ht="12.75" customHeight="1">
      <c r="A23" s="23"/>
      <c r="B23" s="132"/>
      <c r="C23" s="134"/>
    </row>
    <row r="24" spans="1:4" ht="12.75" customHeight="1">
      <c r="A24" s="12"/>
      <c r="B24" s="132"/>
      <c r="C24" s="133"/>
    </row>
    <row r="25" spans="1:4" ht="12.75" customHeight="1">
      <c r="A25" s="59"/>
      <c r="B25" s="132"/>
      <c r="C25" s="133"/>
    </row>
    <row r="26" spans="1:4" ht="12.75" customHeight="1">
      <c r="A26" s="60"/>
      <c r="B26" s="132"/>
      <c r="C26" s="134"/>
    </row>
    <row r="27" spans="1:4" ht="12.75" customHeight="1">
      <c r="A27" s="59"/>
      <c r="B27" s="132"/>
      <c r="C27" s="134"/>
    </row>
    <row r="28" spans="1:4" ht="12.75" customHeight="1">
      <c r="A28" s="60"/>
      <c r="B28" s="129" t="s">
        <v>56</v>
      </c>
      <c r="C28" s="130" t="s">
        <v>55</v>
      </c>
    </row>
    <row r="29" spans="1:4" ht="12.75" customHeight="1">
      <c r="A29" s="62" t="s">
        <v>37</v>
      </c>
      <c r="B29" s="132"/>
      <c r="C29" s="133"/>
    </row>
    <row r="30" spans="1:4" ht="12.75" customHeight="1">
      <c r="A30" s="65" t="s">
        <v>38</v>
      </c>
      <c r="B30" s="132"/>
      <c r="C30" s="133"/>
      <c r="D30" s="134"/>
    </row>
    <row r="31" spans="1:4" ht="12.75" customHeight="1">
      <c r="A31" s="67" t="s">
        <v>39</v>
      </c>
      <c r="B31" s="132"/>
      <c r="C31" s="133"/>
      <c r="D31" s="134"/>
    </row>
    <row r="32" spans="1:4" ht="12.75" customHeight="1">
      <c r="A32" s="70" t="s">
        <v>40</v>
      </c>
      <c r="B32" s="132"/>
      <c r="C32" s="133"/>
      <c r="D32" s="134"/>
    </row>
    <row r="33" spans="1:4" ht="12.75" customHeight="1">
      <c r="A33" s="75" t="s">
        <v>39</v>
      </c>
      <c r="B33" s="132"/>
      <c r="C33" s="133"/>
    </row>
    <row r="34" spans="1:4" ht="12.75" customHeight="1">
      <c r="A34" s="65" t="s">
        <v>41</v>
      </c>
      <c r="B34" s="132"/>
      <c r="C34" s="133"/>
    </row>
    <row r="35" spans="1:4" ht="12.75" customHeight="1">
      <c r="A35" s="67" t="s">
        <v>39</v>
      </c>
      <c r="B35" s="132"/>
      <c r="C35" s="133"/>
      <c r="D35" s="134"/>
    </row>
    <row r="36" spans="1:4" ht="12.75" customHeight="1">
      <c r="A36" s="135"/>
      <c r="B36" s="132"/>
      <c r="C36" s="133"/>
    </row>
    <row r="37" spans="1:4" ht="12.75" customHeight="1">
      <c r="A37" s="1" t="s">
        <v>42</v>
      </c>
      <c r="B37" s="132"/>
      <c r="C37" s="133"/>
    </row>
    <row r="38" spans="1:4" ht="12.75" customHeight="1">
      <c r="A38" s="11" t="s">
        <v>18</v>
      </c>
      <c r="B38" s="132"/>
      <c r="C38" s="133"/>
    </row>
    <row r="39" spans="1:4" ht="12.75" customHeight="1">
      <c r="A39" s="23" t="s">
        <v>34</v>
      </c>
      <c r="B39" s="132">
        <v>7.28</v>
      </c>
      <c r="C39" s="133">
        <f>B39/$B$40*80</f>
        <v>21.10144927536232</v>
      </c>
    </row>
    <row r="40" spans="1:4" ht="12.75" customHeight="1">
      <c r="A40" s="34" t="s">
        <v>60</v>
      </c>
      <c r="B40" s="132">
        <v>27.6</v>
      </c>
      <c r="C40" s="133">
        <v>80</v>
      </c>
    </row>
    <row r="41" spans="1:4" ht="12.75" customHeight="1">
      <c r="A41" s="23" t="s">
        <v>47</v>
      </c>
      <c r="B41" s="132">
        <v>188.4</v>
      </c>
      <c r="C41" s="133">
        <v>90</v>
      </c>
    </row>
    <row r="42" spans="1:4" ht="12.75" customHeight="1">
      <c r="A42" s="34" t="s">
        <v>33</v>
      </c>
      <c r="B42" s="132">
        <v>2.9</v>
      </c>
      <c r="C42" s="133">
        <f>B42/$B$40*80</f>
        <v>8.4057971014492754</v>
      </c>
    </row>
    <row r="43" spans="1:4" ht="12.75" customHeight="1">
      <c r="A43" s="23" t="s">
        <v>32</v>
      </c>
      <c r="B43" s="132">
        <v>300</v>
      </c>
      <c r="C43" s="133">
        <v>100</v>
      </c>
    </row>
    <row r="44" spans="1:4" ht="12.75" customHeight="1">
      <c r="A44" s="34" t="s">
        <v>52</v>
      </c>
      <c r="B44" s="132">
        <v>300</v>
      </c>
      <c r="C44" s="133">
        <v>85</v>
      </c>
    </row>
    <row r="45" spans="1:4" ht="12.75" customHeight="1">
      <c r="A45" s="23"/>
      <c r="B45" s="132"/>
      <c r="C45" s="134"/>
    </row>
    <row r="46" spans="1:4" ht="12.75" customHeight="1">
      <c r="A46" s="34"/>
      <c r="B46" s="132"/>
      <c r="C46" s="134"/>
    </row>
    <row r="47" spans="1:4" ht="12.75" customHeight="1">
      <c r="A47" s="23"/>
      <c r="B47" s="132"/>
      <c r="C47" s="134"/>
    </row>
    <row r="48" spans="1:4" ht="12.75" customHeight="1">
      <c r="A48" s="34"/>
      <c r="B48" s="132"/>
      <c r="C48" s="134"/>
    </row>
    <row r="49" spans="1:3" ht="12.75" customHeight="1">
      <c r="A49" s="51"/>
      <c r="B49" s="132"/>
      <c r="C49" s="134"/>
    </row>
    <row r="50" spans="1:3" ht="12.75" customHeight="1">
      <c r="A50" s="60"/>
      <c r="B50" s="132"/>
      <c r="C50" s="134"/>
    </row>
    <row r="51" spans="1:3" ht="12.75" customHeight="1">
      <c r="A51" s="89"/>
      <c r="B51" s="132"/>
      <c r="C51" s="134"/>
    </row>
    <row r="52" spans="1:3" ht="12.75" customHeight="1">
      <c r="A52" s="1"/>
      <c r="B52" s="132"/>
      <c r="C52" s="134"/>
    </row>
    <row r="53" spans="1:3" ht="12.75" customHeight="1">
      <c r="A53" s="89"/>
      <c r="B53" s="132"/>
      <c r="C53" s="134"/>
    </row>
    <row r="54" spans="1:3" ht="12.75" customHeight="1">
      <c r="A54" s="60"/>
      <c r="B54" s="129" t="s">
        <v>56</v>
      </c>
      <c r="C54" s="130" t="s">
        <v>55</v>
      </c>
    </row>
    <row r="55" spans="1:3" ht="12.75" customHeight="1">
      <c r="A55" s="62" t="s">
        <v>50</v>
      </c>
      <c r="B55" s="132"/>
      <c r="C55" s="133"/>
    </row>
    <row r="56" spans="1:3" ht="12.75" customHeight="1">
      <c r="A56" s="65" t="s">
        <v>38</v>
      </c>
      <c r="B56" s="132"/>
      <c r="C56" s="133"/>
    </row>
    <row r="57" spans="1:3" ht="12.75" customHeight="1">
      <c r="A57" s="67" t="s">
        <v>39</v>
      </c>
      <c r="B57" s="132"/>
      <c r="C57" s="133"/>
    </row>
    <row r="58" spans="1:3" ht="12.75" customHeight="1">
      <c r="A58" s="70" t="s">
        <v>40</v>
      </c>
      <c r="B58" s="132"/>
      <c r="C58" s="133"/>
    </row>
    <row r="59" spans="1:3" ht="12.75" customHeight="1">
      <c r="A59" s="75" t="s">
        <v>39</v>
      </c>
      <c r="B59" s="132"/>
      <c r="C59" s="133"/>
    </row>
    <row r="60" spans="1:3" ht="12.75" customHeight="1">
      <c r="A60" s="65" t="s">
        <v>41</v>
      </c>
      <c r="B60" s="132"/>
      <c r="C60" s="133"/>
    </row>
    <row r="61" spans="1:3" ht="12.75" customHeight="1">
      <c r="A61" s="67" t="s">
        <v>39</v>
      </c>
      <c r="B61" s="132"/>
      <c r="C61" s="133"/>
    </row>
    <row r="62" spans="1:3" ht="12.75" customHeight="1">
      <c r="A62" s="59"/>
      <c r="B62" s="132"/>
      <c r="C62" s="133"/>
    </row>
    <row r="63" spans="1:3" ht="12.75" customHeight="1">
      <c r="A63" s="1" t="s">
        <v>51</v>
      </c>
      <c r="B63" s="132"/>
      <c r="C63" s="133"/>
    </row>
    <row r="64" spans="1:3" ht="12.75" customHeight="1">
      <c r="A64" s="11" t="s">
        <v>18</v>
      </c>
      <c r="B64" s="132"/>
      <c r="C64" s="133"/>
    </row>
    <row r="65" spans="1:3" ht="12.75" customHeight="1">
      <c r="A65" s="23" t="s">
        <v>35</v>
      </c>
      <c r="B65" s="132">
        <v>13.91</v>
      </c>
      <c r="C65" s="133">
        <f>B65/$B$68*80</f>
        <v>6.2352216058721357</v>
      </c>
    </row>
    <row r="66" spans="1:3" ht="12.75" customHeight="1">
      <c r="A66" s="34" t="s">
        <v>61</v>
      </c>
      <c r="B66" s="132">
        <v>13</v>
      </c>
      <c r="C66" s="133">
        <f t="shared" ref="C66:C73" si="2">B66/$B$68*80</f>
        <v>5.8273099120300333</v>
      </c>
    </row>
    <row r="67" spans="1:3" ht="12.75" customHeight="1">
      <c r="A67" s="23" t="s">
        <v>59</v>
      </c>
      <c r="B67" s="132">
        <v>6.5</v>
      </c>
      <c r="C67" s="133">
        <f t="shared" si="2"/>
        <v>2.9136549560150167</v>
      </c>
    </row>
    <row r="68" spans="1:3" ht="12.75" customHeight="1">
      <c r="A68" s="34" t="s">
        <v>62</v>
      </c>
      <c r="B68" s="132">
        <v>178.47</v>
      </c>
      <c r="C68" s="133">
        <f t="shared" si="2"/>
        <v>80</v>
      </c>
    </row>
    <row r="69" spans="1:3" ht="12.75" customHeight="1">
      <c r="A69" s="23" t="s">
        <v>48</v>
      </c>
      <c r="B69" s="132">
        <v>15.69</v>
      </c>
      <c r="C69" s="133">
        <v>85</v>
      </c>
    </row>
    <row r="70" spans="1:3" ht="12.75" customHeight="1">
      <c r="A70" s="34" t="s">
        <v>31</v>
      </c>
      <c r="B70" s="132">
        <v>300</v>
      </c>
      <c r="C70" s="133">
        <v>90</v>
      </c>
    </row>
    <row r="71" spans="1:3" ht="12.75" customHeight="1">
      <c r="A71" s="23" t="s">
        <v>53</v>
      </c>
      <c r="B71" s="132">
        <v>252.43</v>
      </c>
      <c r="C71" s="133">
        <v>100</v>
      </c>
    </row>
    <row r="72" spans="1:3" ht="12.75" customHeight="1">
      <c r="A72" s="34" t="s">
        <v>30</v>
      </c>
      <c r="B72" s="132">
        <v>9.9</v>
      </c>
      <c r="C72" s="133">
        <f t="shared" si="2"/>
        <v>4.4377206253151789</v>
      </c>
    </row>
    <row r="73" spans="1:3" ht="12.75" customHeight="1">
      <c r="A73" s="23" t="s">
        <v>36</v>
      </c>
      <c r="B73" s="132">
        <v>13.15</v>
      </c>
      <c r="C73" s="133">
        <f t="shared" si="2"/>
        <v>5.8945481033226876</v>
      </c>
    </row>
    <row r="74" spans="1:3" ht="12.75" customHeight="1">
      <c r="A74" s="34"/>
      <c r="B74" s="132"/>
      <c r="C74" s="133"/>
    </row>
    <row r="75" spans="1:3" ht="12.75" customHeight="1">
      <c r="A75" s="51"/>
      <c r="B75" s="132"/>
      <c r="C75" s="133"/>
    </row>
    <row r="76" spans="1:3" ht="12.75" customHeight="1">
      <c r="A76" s="60"/>
      <c r="B76" s="132"/>
      <c r="C76" s="133"/>
    </row>
    <row r="77" spans="1:3" ht="12.75" customHeight="1">
      <c r="A77" s="138"/>
      <c r="B77" s="132"/>
      <c r="C77" s="133"/>
    </row>
    <row r="78" spans="1:3" ht="12.75" customHeight="1">
      <c r="A78" s="139"/>
      <c r="B78" s="132"/>
      <c r="C78" s="133"/>
    </row>
    <row r="79" spans="1:3" ht="12.75" customHeight="1">
      <c r="A79" s="138"/>
      <c r="B79" s="132"/>
      <c r="C79" s="133"/>
    </row>
    <row r="80" spans="1:3" ht="12.75" customHeight="1">
      <c r="A80" s="60"/>
      <c r="B80" s="132"/>
      <c r="C80" s="134"/>
    </row>
    <row r="81" spans="1:3" ht="12.75" customHeight="1">
      <c r="A81" s="62" t="s">
        <v>50</v>
      </c>
      <c r="B81" s="132"/>
      <c r="C81" s="134"/>
    </row>
    <row r="82" spans="1:3" ht="12.75" customHeight="1">
      <c r="A82" s="65" t="s">
        <v>38</v>
      </c>
      <c r="B82" s="132"/>
      <c r="C82" s="134"/>
    </row>
    <row r="83" spans="1:3" ht="12.75" customHeight="1">
      <c r="A83" s="67" t="s">
        <v>39</v>
      </c>
      <c r="B83" s="132"/>
      <c r="C83" s="134"/>
    </row>
    <row r="84" spans="1:3" ht="12.75" customHeight="1">
      <c r="A84" s="70" t="s">
        <v>40</v>
      </c>
      <c r="B84" s="132"/>
      <c r="C84" s="134"/>
    </row>
    <row r="85" spans="1:3" ht="12.75" customHeight="1">
      <c r="A85" s="75" t="s">
        <v>39</v>
      </c>
      <c r="B85" s="132"/>
      <c r="C85" s="134"/>
    </row>
    <row r="86" spans="1:3" ht="12.75" customHeight="1">
      <c r="A86" s="65" t="s">
        <v>41</v>
      </c>
      <c r="B86" s="132"/>
      <c r="C86" s="134"/>
    </row>
    <row r="87" spans="1:3" ht="12.75" customHeight="1">
      <c r="A87" s="67" t="s">
        <v>39</v>
      </c>
      <c r="B87" s="132"/>
      <c r="C87" s="134"/>
    </row>
    <row r="88" spans="1:3" ht="12.75" customHeight="1">
      <c r="A88" s="59"/>
      <c r="B88" s="132"/>
      <c r="C88" s="134"/>
    </row>
    <row r="89" spans="1:3" ht="12.75" customHeight="1">
      <c r="A89" s="59"/>
      <c r="B89" s="132"/>
      <c r="C89" s="134"/>
    </row>
    <row r="90" spans="1:3" ht="12.75" customHeight="1">
      <c r="A90" s="59"/>
      <c r="B90" s="132"/>
      <c r="C90" s="134"/>
    </row>
    <row r="91" spans="1:3" ht="12.75" customHeight="1">
      <c r="A91" s="59"/>
      <c r="B91" s="132"/>
      <c r="C91" s="134"/>
    </row>
    <row r="92" spans="1:3" ht="12.75" customHeight="1">
      <c r="A92" s="59"/>
      <c r="B92" s="132"/>
      <c r="C92" s="134"/>
    </row>
    <row r="93" spans="1:3" ht="12.75" customHeight="1">
      <c r="A93" s="59"/>
      <c r="B93" s="132"/>
      <c r="C93" s="134"/>
    </row>
    <row r="94" spans="1:3" ht="12.75" customHeight="1">
      <c r="A94" s="59"/>
      <c r="B94" s="132"/>
      <c r="C94" s="134"/>
    </row>
    <row r="95" spans="1:3" ht="12.75" customHeight="1">
      <c r="A95" s="59"/>
      <c r="B95" s="132"/>
      <c r="C95" s="134"/>
    </row>
    <row r="96" spans="1:3" ht="12.75" customHeight="1">
      <c r="A96" s="59"/>
      <c r="B96" s="132"/>
      <c r="C96" s="134"/>
    </row>
    <row r="97" spans="1:3" ht="12.75" customHeight="1">
      <c r="A97" s="59"/>
      <c r="B97" s="132"/>
      <c r="C97" s="134"/>
    </row>
    <row r="98" spans="1:3" ht="12.75" customHeight="1">
      <c r="A98" s="59"/>
      <c r="B98" s="132"/>
      <c r="C98" s="134"/>
    </row>
    <row r="99" spans="1:3" ht="12.75" customHeight="1">
      <c r="A99" s="59"/>
      <c r="B99" s="132"/>
      <c r="C99" s="134"/>
    </row>
    <row r="100" spans="1:3" ht="12.75" customHeight="1">
      <c r="A100" s="59"/>
      <c r="B100" s="132"/>
      <c r="C100" s="13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Dartmouth WW 2018</vt:lpstr>
      <vt:lpstr>Birling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Semen</dc:creator>
  <cp:lastModifiedBy>Microsoft Office User</cp:lastModifiedBy>
  <cp:lastPrinted>2018-04-29T20:15:34Z</cp:lastPrinted>
  <dcterms:created xsi:type="dcterms:W3CDTF">2001-04-18T20:26:12Z</dcterms:created>
  <dcterms:modified xsi:type="dcterms:W3CDTF">2018-05-02T04:30:47Z</dcterms:modified>
</cp:coreProperties>
</file>